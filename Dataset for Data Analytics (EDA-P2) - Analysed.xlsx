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Labs\Datat Analysis Internship\Week 2 - Project 2 (26-5-2026)\ASSIGN. 2 Answers\"/>
    </mc:Choice>
  </mc:AlternateContent>
  <xr:revisionPtr revIDLastSave="0" documentId="13_ncr:1_{DE565393-5E1A-4A79-8111-37E3609710E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leaned Dataset" sheetId="1" r:id="rId1"/>
    <sheet name="EDA Analysis" sheetId="2" r:id="rId2"/>
  </sheets>
  <calcPr calcId="191029"/>
</workbook>
</file>

<file path=xl/calcChain.xml><?xml version="1.0" encoding="utf-8"?>
<calcChain xmlns="http://schemas.openxmlformats.org/spreadsheetml/2006/main">
  <c r="B40" i="2" l="1" a="1"/>
  <c r="B40" i="2" s="1"/>
  <c r="B41" i="2" a="1"/>
  <c r="B41" i="2" s="1"/>
  <c r="P3" i="1" a="1"/>
  <c r="P3" i="1" s="1"/>
  <c r="P4" i="1" a="1"/>
  <c r="P4" i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/>
  <c r="P137" i="1" a="1"/>
  <c r="P137" i="1" s="1"/>
  <c r="P138" i="1" a="1"/>
  <c r="P138" i="1"/>
  <c r="P139" i="1" a="1"/>
  <c r="P139" i="1" s="1"/>
  <c r="P140" i="1" a="1"/>
  <c r="P140" i="1" s="1"/>
  <c r="P141" i="1" a="1"/>
  <c r="P141" i="1" s="1"/>
  <c r="P142" i="1" a="1"/>
  <c r="P142" i="1"/>
  <c r="P143" i="1" a="1"/>
  <c r="P143" i="1" s="1"/>
  <c r="P144" i="1" a="1"/>
  <c r="P144" i="1"/>
  <c r="P145" i="1" a="1"/>
  <c r="P145" i="1" s="1"/>
  <c r="P146" i="1" a="1"/>
  <c r="P146" i="1"/>
  <c r="P147" i="1" a="1"/>
  <c r="P147" i="1" s="1"/>
  <c r="P148" i="1" a="1"/>
  <c r="P148" i="1" s="1"/>
  <c r="P149" i="1" a="1"/>
  <c r="P149" i="1" s="1"/>
  <c r="P150" i="1" a="1"/>
  <c r="P150" i="1"/>
  <c r="P151" i="1" a="1"/>
  <c r="P151" i="1" s="1"/>
  <c r="P152" i="1" a="1"/>
  <c r="P152" i="1" s="1"/>
  <c r="P153" i="1" a="1"/>
  <c r="P153" i="1" s="1"/>
  <c r="P154" i="1" a="1"/>
  <c r="P154" i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/>
  <c r="P169" i="1" a="1"/>
  <c r="P169" i="1" s="1"/>
  <c r="P170" i="1" a="1"/>
  <c r="P170" i="1"/>
  <c r="P171" i="1" a="1"/>
  <c r="P171" i="1" s="1"/>
  <c r="P172" i="1" a="1"/>
  <c r="P172" i="1" s="1"/>
  <c r="P173" i="1" a="1"/>
  <c r="P173" i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/>
  <c r="P180" i="1" a="1"/>
  <c r="P180" i="1" s="1"/>
  <c r="P181" i="1" a="1"/>
  <c r="P181" i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/>
  <c r="P188" i="1" a="1"/>
  <c r="P188" i="1" s="1"/>
  <c r="P189" i="1" a="1"/>
  <c r="P189" i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/>
  <c r="P196" i="1" a="1"/>
  <c r="P196" i="1" s="1"/>
  <c r="P197" i="1" a="1"/>
  <c r="P197" i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/>
  <c r="P204" i="1" a="1"/>
  <c r="P204" i="1" s="1"/>
  <c r="P205" i="1" a="1"/>
  <c r="P205" i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/>
  <c r="P212" i="1" a="1"/>
  <c r="P212" i="1" s="1"/>
  <c r="P213" i="1" a="1"/>
  <c r="P213" i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/>
  <c r="P220" i="1" a="1"/>
  <c r="P220" i="1" s="1"/>
  <c r="P221" i="1" a="1"/>
  <c r="P221" i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/>
  <c r="P228" i="1" a="1"/>
  <c r="P228" i="1" s="1"/>
  <c r="P229" i="1" a="1"/>
  <c r="P229" i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/>
  <c r="P236" i="1" a="1"/>
  <c r="P236" i="1" s="1"/>
  <c r="P237" i="1" a="1"/>
  <c r="P237" i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/>
  <c r="P244" i="1" a="1"/>
  <c r="P244" i="1" s="1"/>
  <c r="P245" i="1" a="1"/>
  <c r="P245" i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/>
  <c r="P252" i="1" a="1"/>
  <c r="P252" i="1" s="1"/>
  <c r="P253" i="1" a="1"/>
  <c r="P253" i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59" i="1" a="1"/>
  <c r="P259" i="1"/>
  <c r="P260" i="1" a="1"/>
  <c r="P260" i="1" s="1"/>
  <c r="P261" i="1" a="1"/>
  <c r="P261" i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/>
  <c r="P268" i="1" a="1"/>
  <c r="P268" i="1" s="1"/>
  <c r="P269" i="1" a="1"/>
  <c r="P269" i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/>
  <c r="P276" i="1" a="1"/>
  <c r="P276" i="1" s="1"/>
  <c r="P277" i="1" a="1"/>
  <c r="P277" i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/>
  <c r="P284" i="1" a="1"/>
  <c r="P284" i="1" s="1"/>
  <c r="P285" i="1" a="1"/>
  <c r="P285" i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/>
  <c r="P292" i="1" a="1"/>
  <c r="P292" i="1" s="1"/>
  <c r="P293" i="1" a="1"/>
  <c r="P293" i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/>
  <c r="P300" i="1" a="1"/>
  <c r="P300" i="1" s="1"/>
  <c r="P301" i="1" a="1"/>
  <c r="P301" i="1"/>
  <c r="P302" i="1" a="1"/>
  <c r="P302" i="1"/>
  <c r="P303" i="1" a="1"/>
  <c r="P303" i="1"/>
  <c r="P304" i="1" a="1"/>
  <c r="P304" i="1"/>
  <c r="P305" i="1" a="1"/>
  <c r="P305" i="1"/>
  <c r="P306" i="1" a="1"/>
  <c r="P306" i="1"/>
  <c r="P307" i="1" a="1"/>
  <c r="P307" i="1"/>
  <c r="P308" i="1" a="1"/>
  <c r="P308" i="1"/>
  <c r="P309" i="1" a="1"/>
  <c r="P309" i="1"/>
  <c r="P310" i="1" a="1"/>
  <c r="P310" i="1"/>
  <c r="P311" i="1" a="1"/>
  <c r="P311" i="1"/>
  <c r="P312" i="1" a="1"/>
  <c r="P312" i="1"/>
  <c r="P313" i="1" a="1"/>
  <c r="P313" i="1"/>
  <c r="P314" i="1" a="1"/>
  <c r="P314" i="1"/>
  <c r="P315" i="1" a="1"/>
  <c r="P315" i="1"/>
  <c r="P316" i="1" a="1"/>
  <c r="P316" i="1"/>
  <c r="P317" i="1" a="1"/>
  <c r="P317" i="1"/>
  <c r="P318" i="1" a="1"/>
  <c r="P318" i="1" s="1"/>
  <c r="P319" i="1" a="1"/>
  <c r="P319" i="1"/>
  <c r="P320" i="1" a="1"/>
  <c r="P320" i="1" s="1"/>
  <c r="P321" i="1" a="1"/>
  <c r="P321" i="1"/>
  <c r="P322" i="1" a="1"/>
  <c r="P322" i="1" s="1"/>
  <c r="P323" i="1" a="1"/>
  <c r="P323" i="1"/>
  <c r="P324" i="1" a="1"/>
  <c r="P324" i="1" s="1"/>
  <c r="P325" i="1" a="1"/>
  <c r="P325" i="1"/>
  <c r="P326" i="1" a="1"/>
  <c r="P326" i="1" s="1"/>
  <c r="P327" i="1" a="1"/>
  <c r="P327" i="1"/>
  <c r="P328" i="1" a="1"/>
  <c r="P328" i="1" s="1"/>
  <c r="P329" i="1" a="1"/>
  <c r="P329" i="1"/>
  <c r="P330" i="1" a="1"/>
  <c r="P330" i="1" s="1"/>
  <c r="P331" i="1" a="1"/>
  <c r="P331" i="1"/>
  <c r="P332" i="1" a="1"/>
  <c r="P332" i="1" s="1"/>
  <c r="P333" i="1" a="1"/>
  <c r="P333" i="1" s="1"/>
  <c r="P334" i="1" a="1"/>
  <c r="P334" i="1" s="1"/>
  <c r="P335" i="1" a="1"/>
  <c r="P335" i="1" s="1"/>
  <c r="P336" i="1" a="1"/>
  <c r="P336" i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/>
  <c r="P441" i="1" a="1"/>
  <c r="P441" i="1" s="1"/>
  <c r="P442" i="1" a="1"/>
  <c r="P442" i="1" s="1"/>
  <c r="P443" i="1" a="1"/>
  <c r="P443" i="1" s="1"/>
  <c r="P444" i="1" a="1"/>
  <c r="P444" i="1" s="1"/>
  <c r="P445" i="1" a="1"/>
  <c r="P445" i="1" s="1"/>
  <c r="P446" i="1" a="1"/>
  <c r="P446" i="1" s="1"/>
  <c r="P447" i="1" a="1"/>
  <c r="P447" i="1" s="1"/>
  <c r="P448" i="1" a="1"/>
  <c r="P448" i="1"/>
  <c r="P449" i="1" a="1"/>
  <c r="P449" i="1" s="1"/>
  <c r="P450" i="1" a="1"/>
  <c r="P450" i="1" s="1"/>
  <c r="P451" i="1" a="1"/>
  <c r="P451" i="1" s="1"/>
  <c r="P452" i="1" a="1"/>
  <c r="P452" i="1" s="1"/>
  <c r="P453" i="1" a="1"/>
  <c r="P453" i="1" s="1"/>
  <c r="P454" i="1" a="1"/>
  <c r="P454" i="1" s="1"/>
  <c r="P455" i="1" a="1"/>
  <c r="P455" i="1" s="1"/>
  <c r="P456" i="1" a="1"/>
  <c r="P456" i="1"/>
  <c r="P457" i="1" a="1"/>
  <c r="P457" i="1" s="1"/>
  <c r="P458" i="1" a="1"/>
  <c r="P458" i="1" s="1"/>
  <c r="P459" i="1" a="1"/>
  <c r="P459" i="1" s="1"/>
  <c r="P460" i="1" a="1"/>
  <c r="P460" i="1" s="1"/>
  <c r="P461" i="1" a="1"/>
  <c r="P461" i="1" s="1"/>
  <c r="P462" i="1" a="1"/>
  <c r="P462" i="1" s="1"/>
  <c r="P463" i="1" a="1"/>
  <c r="P463" i="1" s="1"/>
  <c r="P464" i="1" a="1"/>
  <c r="P464" i="1"/>
  <c r="P465" i="1" a="1"/>
  <c r="P465" i="1" s="1"/>
  <c r="P466" i="1" a="1"/>
  <c r="P466" i="1" s="1"/>
  <c r="P467" i="1" a="1"/>
  <c r="P467" i="1" s="1"/>
  <c r="P468" i="1" a="1"/>
  <c r="P468" i="1"/>
  <c r="P469" i="1" a="1"/>
  <c r="P469" i="1" s="1"/>
  <c r="P470" i="1" a="1"/>
  <c r="P470" i="1" s="1"/>
  <c r="P471" i="1" a="1"/>
  <c r="P471" i="1" s="1"/>
  <c r="P472" i="1" a="1"/>
  <c r="P472" i="1"/>
  <c r="P473" i="1" a="1"/>
  <c r="P473" i="1" s="1"/>
  <c r="P474" i="1" a="1"/>
  <c r="P474" i="1" s="1"/>
  <c r="P475" i="1" a="1"/>
  <c r="P475" i="1" s="1"/>
  <c r="P476" i="1" a="1"/>
  <c r="P476" i="1"/>
  <c r="P477" i="1" a="1"/>
  <c r="P477" i="1" s="1"/>
  <c r="P478" i="1" a="1"/>
  <c r="P478" i="1" s="1"/>
  <c r="P479" i="1" a="1"/>
  <c r="P479" i="1" s="1"/>
  <c r="P480" i="1" a="1"/>
  <c r="P480" i="1"/>
  <c r="P481" i="1" a="1"/>
  <c r="P481" i="1" s="1"/>
  <c r="P482" i="1" a="1"/>
  <c r="P482" i="1" s="1"/>
  <c r="P483" i="1" a="1"/>
  <c r="P483" i="1" s="1"/>
  <c r="P484" i="1" a="1"/>
  <c r="P484" i="1"/>
  <c r="P485" i="1" a="1"/>
  <c r="P485" i="1" s="1"/>
  <c r="P486" i="1" a="1"/>
  <c r="P486" i="1" s="1"/>
  <c r="P487" i="1" a="1"/>
  <c r="P487" i="1" s="1"/>
  <c r="P488" i="1" a="1"/>
  <c r="P488" i="1"/>
  <c r="P489" i="1" a="1"/>
  <c r="P489" i="1" s="1"/>
  <c r="P490" i="1" a="1"/>
  <c r="P490" i="1" s="1"/>
  <c r="P491" i="1" a="1"/>
  <c r="P491" i="1" s="1"/>
  <c r="P492" i="1" a="1"/>
  <c r="P492" i="1"/>
  <c r="P493" i="1" a="1"/>
  <c r="P493" i="1" s="1"/>
  <c r="P494" i="1" a="1"/>
  <c r="P494" i="1" s="1"/>
  <c r="P495" i="1" a="1"/>
  <c r="P495" i="1" s="1"/>
  <c r="P496" i="1" a="1"/>
  <c r="P496" i="1"/>
  <c r="P497" i="1" a="1"/>
  <c r="P497" i="1" s="1"/>
  <c r="P498" i="1" a="1"/>
  <c r="P498" i="1" s="1"/>
  <c r="P499" i="1" a="1"/>
  <c r="P499" i="1" s="1"/>
  <c r="P500" i="1" a="1"/>
  <c r="P500" i="1" s="1"/>
  <c r="P501" i="1" a="1"/>
  <c r="P501" i="1" s="1"/>
  <c r="P502" i="1" a="1"/>
  <c r="P502" i="1"/>
  <c r="P503" i="1" a="1"/>
  <c r="P503" i="1" s="1"/>
  <c r="P504" i="1" a="1"/>
  <c r="P504" i="1" s="1"/>
  <c r="P505" i="1" a="1"/>
  <c r="P505" i="1" s="1"/>
  <c r="P506" i="1" a="1"/>
  <c r="P506" i="1"/>
  <c r="P507" i="1" a="1"/>
  <c r="P507" i="1" s="1"/>
  <c r="P508" i="1" a="1"/>
  <c r="P508" i="1" s="1"/>
  <c r="P509" i="1" a="1"/>
  <c r="P509" i="1" s="1"/>
  <c r="P510" i="1" a="1"/>
  <c r="P510" i="1"/>
  <c r="P511" i="1" a="1"/>
  <c r="P511" i="1" s="1"/>
  <c r="P512" i="1" a="1"/>
  <c r="P512" i="1" s="1"/>
  <c r="P513" i="1" a="1"/>
  <c r="P513" i="1" s="1"/>
  <c r="P514" i="1" a="1"/>
  <c r="P514" i="1"/>
  <c r="P515" i="1" a="1"/>
  <c r="P515" i="1" s="1"/>
  <c r="P516" i="1" a="1"/>
  <c r="P516" i="1" s="1"/>
  <c r="P517" i="1" a="1"/>
  <c r="P517" i="1" s="1"/>
  <c r="P518" i="1" a="1"/>
  <c r="P518" i="1"/>
  <c r="P519" i="1" a="1"/>
  <c r="P519" i="1" s="1"/>
  <c r="P520" i="1" a="1"/>
  <c r="P520" i="1" s="1"/>
  <c r="P521" i="1" a="1"/>
  <c r="P521" i="1" s="1"/>
  <c r="P522" i="1" a="1"/>
  <c r="P522" i="1"/>
  <c r="P523" i="1" a="1"/>
  <c r="P523" i="1" s="1"/>
  <c r="P524" i="1" a="1"/>
  <c r="P524" i="1" s="1"/>
  <c r="P525" i="1" a="1"/>
  <c r="P525" i="1" s="1"/>
  <c r="P526" i="1" a="1"/>
  <c r="P526" i="1"/>
  <c r="P527" i="1" a="1"/>
  <c r="P527" i="1" s="1"/>
  <c r="P528" i="1" a="1"/>
  <c r="P528" i="1" s="1"/>
  <c r="P529" i="1" a="1"/>
  <c r="P529" i="1" s="1"/>
  <c r="P530" i="1" a="1"/>
  <c r="P530" i="1"/>
  <c r="P531" i="1" a="1"/>
  <c r="P531" i="1" s="1"/>
  <c r="P532" i="1" a="1"/>
  <c r="P532" i="1" s="1"/>
  <c r="P533" i="1" a="1"/>
  <c r="P533" i="1" s="1"/>
  <c r="P534" i="1" a="1"/>
  <c r="P534" i="1"/>
  <c r="P535" i="1" a="1"/>
  <c r="P535" i="1" s="1"/>
  <c r="P536" i="1" a="1"/>
  <c r="P536" i="1" s="1"/>
  <c r="P537" i="1" a="1"/>
  <c r="P537" i="1" s="1"/>
  <c r="P538" i="1" a="1"/>
  <c r="P538" i="1"/>
  <c r="P539" i="1" a="1"/>
  <c r="P539" i="1" s="1"/>
  <c r="P540" i="1" a="1"/>
  <c r="P540" i="1" s="1"/>
  <c r="P541" i="1" a="1"/>
  <c r="P541" i="1" s="1"/>
  <c r="P542" i="1" a="1"/>
  <c r="P542" i="1"/>
  <c r="P543" i="1" a="1"/>
  <c r="P543" i="1" s="1"/>
  <c r="P544" i="1" a="1"/>
  <c r="P544" i="1" s="1"/>
  <c r="P545" i="1" a="1"/>
  <c r="P545" i="1" s="1"/>
  <c r="P546" i="1" a="1"/>
  <c r="P546" i="1"/>
  <c r="P547" i="1" a="1"/>
  <c r="P547" i="1" s="1"/>
  <c r="P548" i="1" a="1"/>
  <c r="P548" i="1" s="1"/>
  <c r="P549" i="1" a="1"/>
  <c r="P549" i="1" s="1"/>
  <c r="P550" i="1" a="1"/>
  <c r="P550" i="1"/>
  <c r="P551" i="1" a="1"/>
  <c r="P551" i="1" s="1"/>
  <c r="P552" i="1" a="1"/>
  <c r="P552" i="1" s="1"/>
  <c r="P553" i="1" a="1"/>
  <c r="P553" i="1" s="1"/>
  <c r="P554" i="1" a="1"/>
  <c r="P554" i="1"/>
  <c r="P555" i="1" a="1"/>
  <c r="P555" i="1" s="1"/>
  <c r="P556" i="1" a="1"/>
  <c r="P556" i="1" s="1"/>
  <c r="P557" i="1" a="1"/>
  <c r="P557" i="1" s="1"/>
  <c r="P558" i="1" a="1"/>
  <c r="P558" i="1"/>
  <c r="P559" i="1" a="1"/>
  <c r="P559" i="1" s="1"/>
  <c r="P560" i="1" a="1"/>
  <c r="P560" i="1" s="1"/>
  <c r="P561" i="1" a="1"/>
  <c r="P561" i="1" s="1"/>
  <c r="P562" i="1" a="1"/>
  <c r="P562" i="1"/>
  <c r="P563" i="1" a="1"/>
  <c r="P563" i="1" s="1"/>
  <c r="P564" i="1" a="1"/>
  <c r="P564" i="1" s="1"/>
  <c r="P565" i="1" a="1"/>
  <c r="P565" i="1" s="1"/>
  <c r="P566" i="1" a="1"/>
  <c r="P566" i="1"/>
  <c r="P567" i="1" a="1"/>
  <c r="P567" i="1" s="1"/>
  <c r="P568" i="1" a="1"/>
  <c r="P568" i="1" s="1"/>
  <c r="P569" i="1" a="1"/>
  <c r="P569" i="1" s="1"/>
  <c r="P570" i="1" a="1"/>
  <c r="P570" i="1"/>
  <c r="P571" i="1" a="1"/>
  <c r="P571" i="1" s="1"/>
  <c r="P572" i="1" a="1"/>
  <c r="P572" i="1" s="1"/>
  <c r="P573" i="1" a="1"/>
  <c r="P573" i="1" s="1"/>
  <c r="P574" i="1" a="1"/>
  <c r="P574" i="1"/>
  <c r="P575" i="1" a="1"/>
  <c r="P575" i="1" s="1"/>
  <c r="P576" i="1" a="1"/>
  <c r="P576" i="1" s="1"/>
  <c r="P577" i="1" a="1"/>
  <c r="P577" i="1" s="1"/>
  <c r="P578" i="1" a="1"/>
  <c r="P578" i="1"/>
  <c r="P579" i="1" a="1"/>
  <c r="P579" i="1" s="1"/>
  <c r="P580" i="1" a="1"/>
  <c r="P580" i="1" s="1"/>
  <c r="P581" i="1" a="1"/>
  <c r="P581" i="1" s="1"/>
  <c r="P582" i="1" a="1"/>
  <c r="P582" i="1"/>
  <c r="P583" i="1" a="1"/>
  <c r="P583" i="1" s="1"/>
  <c r="P584" i="1" a="1"/>
  <c r="P584" i="1" s="1"/>
  <c r="P585" i="1" a="1"/>
  <c r="P585" i="1" s="1"/>
  <c r="P586" i="1" a="1"/>
  <c r="P586" i="1"/>
  <c r="P587" i="1" a="1"/>
  <c r="P587" i="1" s="1"/>
  <c r="P588" i="1" a="1"/>
  <c r="P588" i="1" s="1"/>
  <c r="P589" i="1" a="1"/>
  <c r="P589" i="1" s="1"/>
  <c r="P590" i="1" a="1"/>
  <c r="P590" i="1"/>
  <c r="P591" i="1" a="1"/>
  <c r="P591" i="1" s="1"/>
  <c r="P592" i="1" a="1"/>
  <c r="P592" i="1" s="1"/>
  <c r="P593" i="1" a="1"/>
  <c r="P593" i="1" s="1"/>
  <c r="P594" i="1" a="1"/>
  <c r="P594" i="1"/>
  <c r="P595" i="1" a="1"/>
  <c r="P595" i="1" s="1"/>
  <c r="P596" i="1" a="1"/>
  <c r="P596" i="1" s="1"/>
  <c r="P597" i="1" a="1"/>
  <c r="P597" i="1" s="1"/>
  <c r="P598" i="1" a="1"/>
  <c r="P598" i="1"/>
  <c r="P599" i="1" a="1"/>
  <c r="P599" i="1" s="1"/>
  <c r="P600" i="1" a="1"/>
  <c r="P600" i="1" s="1"/>
  <c r="P601" i="1" a="1"/>
  <c r="P601" i="1" s="1"/>
  <c r="P602" i="1" a="1"/>
  <c r="P602" i="1"/>
  <c r="P603" i="1" a="1"/>
  <c r="P603" i="1" s="1"/>
  <c r="P604" i="1" a="1"/>
  <c r="P604" i="1" s="1"/>
  <c r="P605" i="1" a="1"/>
  <c r="P605" i="1" s="1"/>
  <c r="P606" i="1" a="1"/>
  <c r="P606" i="1"/>
  <c r="P607" i="1" a="1"/>
  <c r="P607" i="1" s="1"/>
  <c r="P608" i="1" a="1"/>
  <c r="P608" i="1" s="1"/>
  <c r="P609" i="1" a="1"/>
  <c r="P609" i="1" s="1"/>
  <c r="P610" i="1" a="1"/>
  <c r="P610" i="1"/>
  <c r="P611" i="1" a="1"/>
  <c r="P611" i="1" s="1"/>
  <c r="P612" i="1" a="1"/>
  <c r="P612" i="1" s="1"/>
  <c r="P613" i="1" a="1"/>
  <c r="P613" i="1" s="1"/>
  <c r="P614" i="1" a="1"/>
  <c r="P614" i="1"/>
  <c r="P615" i="1" a="1"/>
  <c r="P615" i="1" s="1"/>
  <c r="P616" i="1" a="1"/>
  <c r="P616" i="1" s="1"/>
  <c r="P617" i="1" a="1"/>
  <c r="P617" i="1" s="1"/>
  <c r="P618" i="1" a="1"/>
  <c r="P618" i="1"/>
  <c r="P619" i="1" a="1"/>
  <c r="P619" i="1" s="1"/>
  <c r="P620" i="1" a="1"/>
  <c r="P620" i="1" s="1"/>
  <c r="P621" i="1" a="1"/>
  <c r="P621" i="1" s="1"/>
  <c r="P622" i="1" a="1"/>
  <c r="P622" i="1"/>
  <c r="P623" i="1" a="1"/>
  <c r="P623" i="1" s="1"/>
  <c r="P624" i="1" a="1"/>
  <c r="P624" i="1" s="1"/>
  <c r="P625" i="1" a="1"/>
  <c r="P625" i="1" s="1"/>
  <c r="P626" i="1" a="1"/>
  <c r="P626" i="1"/>
  <c r="P627" i="1" a="1"/>
  <c r="P627" i="1" s="1"/>
  <c r="P628" i="1" a="1"/>
  <c r="P628" i="1" s="1"/>
  <c r="P629" i="1" a="1"/>
  <c r="P629" i="1" s="1"/>
  <c r="P630" i="1" a="1"/>
  <c r="P630" i="1"/>
  <c r="P631" i="1" a="1"/>
  <c r="P631" i="1" s="1"/>
  <c r="P632" i="1" a="1"/>
  <c r="P632" i="1" s="1"/>
  <c r="P633" i="1" a="1"/>
  <c r="P633" i="1" s="1"/>
  <c r="P634" i="1" a="1"/>
  <c r="P634" i="1"/>
  <c r="P635" i="1" a="1"/>
  <c r="P635" i="1" s="1"/>
  <c r="P636" i="1" a="1"/>
  <c r="P636" i="1" s="1"/>
  <c r="P637" i="1" a="1"/>
  <c r="P637" i="1" s="1"/>
  <c r="P638" i="1" a="1"/>
  <c r="P638" i="1"/>
  <c r="P639" i="1" a="1"/>
  <c r="P639" i="1" s="1"/>
  <c r="P640" i="1" a="1"/>
  <c r="P640" i="1" s="1"/>
  <c r="P641" i="1" a="1"/>
  <c r="P641" i="1" s="1"/>
  <c r="P642" i="1" a="1"/>
  <c r="P642" i="1"/>
  <c r="P643" i="1" a="1"/>
  <c r="P643" i="1" s="1"/>
  <c r="P644" i="1" a="1"/>
  <c r="P644" i="1" s="1"/>
  <c r="P645" i="1" a="1"/>
  <c r="P645" i="1" s="1"/>
  <c r="P646" i="1" a="1"/>
  <c r="P646" i="1"/>
  <c r="P647" i="1" a="1"/>
  <c r="P647" i="1" s="1"/>
  <c r="P648" i="1" a="1"/>
  <c r="P648" i="1" s="1"/>
  <c r="P649" i="1" a="1"/>
  <c r="P649" i="1" s="1"/>
  <c r="P650" i="1" a="1"/>
  <c r="P650" i="1"/>
  <c r="P651" i="1" a="1"/>
  <c r="P651" i="1" s="1"/>
  <c r="P652" i="1" a="1"/>
  <c r="P652" i="1" s="1"/>
  <c r="P653" i="1" a="1"/>
  <c r="P653" i="1" s="1"/>
  <c r="P654" i="1" a="1"/>
  <c r="P654" i="1"/>
  <c r="P655" i="1" a="1"/>
  <c r="P655" i="1" s="1"/>
  <c r="P656" i="1" a="1"/>
  <c r="P656" i="1" s="1"/>
  <c r="P657" i="1" a="1"/>
  <c r="P657" i="1" s="1"/>
  <c r="P658" i="1" a="1"/>
  <c r="P658" i="1"/>
  <c r="P659" i="1" a="1"/>
  <c r="P659" i="1" s="1"/>
  <c r="P660" i="1" a="1"/>
  <c r="P660" i="1" s="1"/>
  <c r="P661" i="1" a="1"/>
  <c r="P661" i="1" s="1"/>
  <c r="P662" i="1" a="1"/>
  <c r="P662" i="1"/>
  <c r="P663" i="1" a="1"/>
  <c r="P663" i="1" s="1"/>
  <c r="P664" i="1" a="1"/>
  <c r="P664" i="1" s="1"/>
  <c r="P665" i="1" a="1"/>
  <c r="P665" i="1" s="1"/>
  <c r="P666" i="1" a="1"/>
  <c r="P666" i="1"/>
  <c r="P667" i="1" a="1"/>
  <c r="P667" i="1" s="1"/>
  <c r="P668" i="1" a="1"/>
  <c r="P668" i="1" s="1"/>
  <c r="P669" i="1" a="1"/>
  <c r="P669" i="1" s="1"/>
  <c r="P670" i="1" a="1"/>
  <c r="P670" i="1"/>
  <c r="P671" i="1" a="1"/>
  <c r="P671" i="1" s="1"/>
  <c r="P672" i="1" a="1"/>
  <c r="P672" i="1" s="1"/>
  <c r="P673" i="1" a="1"/>
  <c r="P673" i="1" s="1"/>
  <c r="P674" i="1" a="1"/>
  <c r="P674" i="1"/>
  <c r="P675" i="1" a="1"/>
  <c r="P675" i="1" s="1"/>
  <c r="P676" i="1" a="1"/>
  <c r="P676" i="1" s="1"/>
  <c r="P677" i="1" a="1"/>
  <c r="P677" i="1" s="1"/>
  <c r="P678" i="1" a="1"/>
  <c r="P678" i="1"/>
  <c r="P679" i="1" a="1"/>
  <c r="P679" i="1" s="1"/>
  <c r="P680" i="1" a="1"/>
  <c r="P680" i="1" s="1"/>
  <c r="P681" i="1" a="1"/>
  <c r="P681" i="1" s="1"/>
  <c r="P682" i="1" a="1"/>
  <c r="P682" i="1"/>
  <c r="P683" i="1" a="1"/>
  <c r="P683" i="1" s="1"/>
  <c r="P684" i="1" a="1"/>
  <c r="P684" i="1" s="1"/>
  <c r="P685" i="1" a="1"/>
  <c r="P685" i="1" s="1"/>
  <c r="P686" i="1" a="1"/>
  <c r="P686" i="1"/>
  <c r="P687" i="1" a="1"/>
  <c r="P687" i="1" s="1"/>
  <c r="P688" i="1" a="1"/>
  <c r="P688" i="1" s="1"/>
  <c r="P689" i="1" a="1"/>
  <c r="P689" i="1" s="1"/>
  <c r="P690" i="1" a="1"/>
  <c r="P690" i="1"/>
  <c r="P691" i="1" a="1"/>
  <c r="P691" i="1" s="1"/>
  <c r="P692" i="1" a="1"/>
  <c r="P692" i="1" s="1"/>
  <c r="P693" i="1" a="1"/>
  <c r="P693" i="1" s="1"/>
  <c r="P694" i="1" a="1"/>
  <c r="P694" i="1"/>
  <c r="P695" i="1" a="1"/>
  <c r="P695" i="1" s="1"/>
  <c r="P696" i="1" a="1"/>
  <c r="P696" i="1" s="1"/>
  <c r="P697" i="1" a="1"/>
  <c r="P697" i="1" s="1"/>
  <c r="P698" i="1" a="1"/>
  <c r="P698" i="1"/>
  <c r="P699" i="1" a="1"/>
  <c r="P699" i="1" s="1"/>
  <c r="P700" i="1" a="1"/>
  <c r="P700" i="1" s="1"/>
  <c r="P701" i="1" a="1"/>
  <c r="P701" i="1" s="1"/>
  <c r="P702" i="1" a="1"/>
  <c r="P702" i="1"/>
  <c r="P703" i="1" a="1"/>
  <c r="P703" i="1" s="1"/>
  <c r="P704" i="1" a="1"/>
  <c r="P704" i="1" s="1"/>
  <c r="P705" i="1" a="1"/>
  <c r="P705" i="1" s="1"/>
  <c r="P706" i="1" a="1"/>
  <c r="P706" i="1"/>
  <c r="P707" i="1" a="1"/>
  <c r="P707" i="1" s="1"/>
  <c r="P708" i="1" a="1"/>
  <c r="P708" i="1" s="1"/>
  <c r="P709" i="1" a="1"/>
  <c r="P709" i="1" s="1"/>
  <c r="P710" i="1" a="1"/>
  <c r="P710" i="1"/>
  <c r="P711" i="1" a="1"/>
  <c r="P711" i="1" s="1"/>
  <c r="P712" i="1" a="1"/>
  <c r="P712" i="1" s="1"/>
  <c r="P713" i="1" a="1"/>
  <c r="P713" i="1" s="1"/>
  <c r="P714" i="1" a="1"/>
  <c r="P714" i="1"/>
  <c r="P715" i="1" a="1"/>
  <c r="P715" i="1" s="1"/>
  <c r="P716" i="1" a="1"/>
  <c r="P716" i="1" s="1"/>
  <c r="P717" i="1" a="1"/>
  <c r="P717" i="1" s="1"/>
  <c r="P718" i="1" a="1"/>
  <c r="P718" i="1"/>
  <c r="P719" i="1" a="1"/>
  <c r="P719" i="1" s="1"/>
  <c r="P720" i="1" a="1"/>
  <c r="P720" i="1" s="1"/>
  <c r="P721" i="1" a="1"/>
  <c r="P721" i="1" s="1"/>
  <c r="P722" i="1" a="1"/>
  <c r="P722" i="1"/>
  <c r="P723" i="1" a="1"/>
  <c r="P723" i="1" s="1"/>
  <c r="P724" i="1" a="1"/>
  <c r="P724" i="1" s="1"/>
  <c r="P725" i="1" a="1"/>
  <c r="P725" i="1" s="1"/>
  <c r="P726" i="1" a="1"/>
  <c r="P726" i="1" s="1"/>
  <c r="P727" i="1" a="1"/>
  <c r="P727" i="1" s="1"/>
  <c r="P728" i="1" a="1"/>
  <c r="P728" i="1" s="1"/>
  <c r="P729" i="1" a="1"/>
  <c r="P729" i="1" s="1"/>
  <c r="P730" i="1" a="1"/>
  <c r="P730" i="1"/>
  <c r="P731" i="1" a="1"/>
  <c r="P731" i="1" s="1"/>
  <c r="P732" i="1" a="1"/>
  <c r="P732" i="1" s="1"/>
  <c r="P733" i="1" a="1"/>
  <c r="P733" i="1" s="1"/>
  <c r="P734" i="1" a="1"/>
  <c r="P734" i="1" s="1"/>
  <c r="P735" i="1" a="1"/>
  <c r="P735" i="1" s="1"/>
  <c r="P736" i="1" a="1"/>
  <c r="P736" i="1"/>
  <c r="P737" i="1" a="1"/>
  <c r="P737" i="1" s="1"/>
  <c r="P738" i="1" a="1"/>
  <c r="P738" i="1"/>
  <c r="P739" i="1" a="1"/>
  <c r="P739" i="1" s="1"/>
  <c r="P740" i="1" a="1"/>
  <c r="P740" i="1" s="1"/>
  <c r="P741" i="1" a="1"/>
  <c r="P741" i="1" s="1"/>
  <c r="P742" i="1" a="1"/>
  <c r="P742" i="1"/>
  <c r="P743" i="1" a="1"/>
  <c r="P743" i="1" s="1"/>
  <c r="P744" i="1" a="1"/>
  <c r="P744" i="1"/>
  <c r="P745" i="1" a="1"/>
  <c r="P745" i="1" s="1"/>
  <c r="P746" i="1" a="1"/>
  <c r="P746" i="1"/>
  <c r="P747" i="1" a="1"/>
  <c r="P747" i="1" s="1"/>
  <c r="P748" i="1" a="1"/>
  <c r="P748" i="1" s="1"/>
  <c r="P749" i="1" a="1"/>
  <c r="P749" i="1" s="1"/>
  <c r="P750" i="1" a="1"/>
  <c r="P750" i="1"/>
  <c r="P751" i="1" a="1"/>
  <c r="P751" i="1" s="1"/>
  <c r="P752" i="1" a="1"/>
  <c r="P752" i="1" s="1"/>
  <c r="P753" i="1" a="1"/>
  <c r="P753" i="1" s="1"/>
  <c r="P754" i="1" a="1"/>
  <c r="P754" i="1"/>
  <c r="P755" i="1" a="1"/>
  <c r="P755" i="1" s="1"/>
  <c r="P756" i="1" a="1"/>
  <c r="P756" i="1" s="1"/>
  <c r="P757" i="1" a="1"/>
  <c r="P757" i="1" s="1"/>
  <c r="P758" i="1" a="1"/>
  <c r="P758" i="1" s="1"/>
  <c r="P759" i="1" a="1"/>
  <c r="P759" i="1" s="1"/>
  <c r="P760" i="1" a="1"/>
  <c r="P760" i="1" s="1"/>
  <c r="P761" i="1" a="1"/>
  <c r="P761" i="1" s="1"/>
  <c r="P762" i="1" a="1"/>
  <c r="P762" i="1"/>
  <c r="P763" i="1" a="1"/>
  <c r="P763" i="1" s="1"/>
  <c r="P764" i="1" a="1"/>
  <c r="P764" i="1" s="1"/>
  <c r="P765" i="1" a="1"/>
  <c r="P765" i="1" s="1"/>
  <c r="P766" i="1" a="1"/>
  <c r="P766" i="1" s="1"/>
  <c r="P767" i="1" a="1"/>
  <c r="P767" i="1" s="1"/>
  <c r="P768" i="1" a="1"/>
  <c r="P768" i="1"/>
  <c r="P769" i="1" a="1"/>
  <c r="P769" i="1" s="1"/>
  <c r="P770" i="1" a="1"/>
  <c r="P770" i="1"/>
  <c r="P771" i="1" a="1"/>
  <c r="P771" i="1" s="1"/>
  <c r="P772" i="1" a="1"/>
  <c r="P772" i="1" s="1"/>
  <c r="P773" i="1" a="1"/>
  <c r="P773" i="1" s="1"/>
  <c r="P774" i="1" a="1"/>
  <c r="P774" i="1"/>
  <c r="P775" i="1" a="1"/>
  <c r="P775" i="1" s="1"/>
  <c r="P776" i="1" a="1"/>
  <c r="P776" i="1"/>
  <c r="P777" i="1" a="1"/>
  <c r="P777" i="1" s="1"/>
  <c r="P778" i="1" a="1"/>
  <c r="P778" i="1"/>
  <c r="P779" i="1" a="1"/>
  <c r="P779" i="1" s="1"/>
  <c r="P780" i="1" a="1"/>
  <c r="P780" i="1" s="1"/>
  <c r="P781" i="1" a="1"/>
  <c r="P781" i="1" s="1"/>
  <c r="P782" i="1" a="1"/>
  <c r="P782" i="1"/>
  <c r="P783" i="1" a="1"/>
  <c r="P783" i="1" s="1"/>
  <c r="P784" i="1" a="1"/>
  <c r="P784" i="1" s="1"/>
  <c r="P785" i="1" a="1"/>
  <c r="P785" i="1" s="1"/>
  <c r="P786" i="1" a="1"/>
  <c r="P786" i="1"/>
  <c r="P787" i="1" a="1"/>
  <c r="P787" i="1" s="1"/>
  <c r="P788" i="1" a="1"/>
  <c r="P788" i="1" s="1"/>
  <c r="P789" i="1" a="1"/>
  <c r="P789" i="1" s="1"/>
  <c r="P790" i="1" a="1"/>
  <c r="P790" i="1" s="1"/>
  <c r="P791" i="1" a="1"/>
  <c r="P791" i="1" s="1"/>
  <c r="P792" i="1" a="1"/>
  <c r="P792" i="1" s="1"/>
  <c r="P793" i="1" a="1"/>
  <c r="P793" i="1" s="1"/>
  <c r="P794" i="1" a="1"/>
  <c r="P794" i="1"/>
  <c r="P795" i="1" a="1"/>
  <c r="P795" i="1" s="1"/>
  <c r="P796" i="1" a="1"/>
  <c r="P796" i="1" s="1"/>
  <c r="P797" i="1" a="1"/>
  <c r="P797" i="1" s="1"/>
  <c r="P798" i="1" a="1"/>
  <c r="P798" i="1" s="1"/>
  <c r="P799" i="1" a="1"/>
  <c r="P799" i="1" s="1"/>
  <c r="P800" i="1" a="1"/>
  <c r="P800" i="1"/>
  <c r="P801" i="1" a="1"/>
  <c r="P801" i="1" s="1"/>
  <c r="P802" i="1" a="1"/>
  <c r="P802" i="1"/>
  <c r="P803" i="1" a="1"/>
  <c r="P803" i="1" s="1"/>
  <c r="P804" i="1" a="1"/>
  <c r="P804" i="1" s="1"/>
  <c r="P805" i="1" a="1"/>
  <c r="P805" i="1" s="1"/>
  <c r="P806" i="1" a="1"/>
  <c r="P806" i="1" s="1"/>
  <c r="P807" i="1" a="1"/>
  <c r="P807" i="1" s="1"/>
  <c r="P808" i="1" a="1"/>
  <c r="P808" i="1"/>
  <c r="P809" i="1" a="1"/>
  <c r="P809" i="1" s="1"/>
  <c r="P810" i="1" a="1"/>
  <c r="P810" i="1"/>
  <c r="P811" i="1" a="1"/>
  <c r="P811" i="1" s="1"/>
  <c r="P812" i="1" a="1"/>
  <c r="P812" i="1" s="1"/>
  <c r="P813" i="1" a="1"/>
  <c r="P813" i="1" s="1"/>
  <c r="P814" i="1" a="1"/>
  <c r="P814" i="1" s="1"/>
  <c r="P815" i="1" a="1"/>
  <c r="P815" i="1" s="1"/>
  <c r="P816" i="1" a="1"/>
  <c r="P816" i="1"/>
  <c r="P817" i="1" a="1"/>
  <c r="P817" i="1" s="1"/>
  <c r="P818" i="1" a="1"/>
  <c r="P818" i="1"/>
  <c r="P819" i="1" a="1"/>
  <c r="P819" i="1" s="1"/>
  <c r="P820" i="1" a="1"/>
  <c r="P820" i="1" s="1"/>
  <c r="P821" i="1" a="1"/>
  <c r="P821" i="1" s="1"/>
  <c r="P822" i="1" a="1"/>
  <c r="P822" i="1" s="1"/>
  <c r="P823" i="1" a="1"/>
  <c r="P823" i="1" s="1"/>
  <c r="P824" i="1" a="1"/>
  <c r="P824" i="1"/>
  <c r="P825" i="1" a="1"/>
  <c r="P825" i="1" s="1"/>
  <c r="P826" i="1" a="1"/>
  <c r="P826" i="1"/>
  <c r="P827" i="1" a="1"/>
  <c r="P827" i="1" s="1"/>
  <c r="P828" i="1" a="1"/>
  <c r="P828" i="1" s="1"/>
  <c r="P829" i="1" a="1"/>
  <c r="P829" i="1" s="1"/>
  <c r="P830" i="1" a="1"/>
  <c r="P830" i="1" s="1"/>
  <c r="P831" i="1" a="1"/>
  <c r="P831" i="1" s="1"/>
  <c r="P832" i="1" a="1"/>
  <c r="P832" i="1"/>
  <c r="P833" i="1" a="1"/>
  <c r="P833" i="1" s="1"/>
  <c r="P834" i="1" a="1"/>
  <c r="P834" i="1"/>
  <c r="P835" i="1" a="1"/>
  <c r="P835" i="1" s="1"/>
  <c r="P836" i="1" a="1"/>
  <c r="P836" i="1" s="1"/>
  <c r="P837" i="1" a="1"/>
  <c r="P837" i="1" s="1"/>
  <c r="P838" i="1" a="1"/>
  <c r="P838" i="1" s="1"/>
  <c r="P839" i="1" a="1"/>
  <c r="P839" i="1" s="1"/>
  <c r="P840" i="1" a="1"/>
  <c r="P840" i="1"/>
  <c r="P841" i="1" a="1"/>
  <c r="P841" i="1" s="1"/>
  <c r="P842" i="1" a="1"/>
  <c r="P842" i="1"/>
  <c r="P843" i="1" a="1"/>
  <c r="P843" i="1" s="1"/>
  <c r="P844" i="1" a="1"/>
  <c r="P844" i="1" s="1"/>
  <c r="P845" i="1" a="1"/>
  <c r="P845" i="1" s="1"/>
  <c r="P846" i="1" a="1"/>
  <c r="P846" i="1" s="1"/>
  <c r="P847" i="1" a="1"/>
  <c r="P847" i="1" s="1"/>
  <c r="P848" i="1" a="1"/>
  <c r="P848" i="1"/>
  <c r="P849" i="1" a="1"/>
  <c r="P849" i="1" s="1"/>
  <c r="P850" i="1" a="1"/>
  <c r="P850" i="1"/>
  <c r="P851" i="1" a="1"/>
  <c r="P851" i="1" s="1"/>
  <c r="P852" i="1" a="1"/>
  <c r="P852" i="1" s="1"/>
  <c r="P853" i="1" a="1"/>
  <c r="P853" i="1" s="1"/>
  <c r="P854" i="1" a="1"/>
  <c r="P854" i="1" s="1"/>
  <c r="P855" i="1" a="1"/>
  <c r="P855" i="1" s="1"/>
  <c r="P856" i="1" a="1"/>
  <c r="P856" i="1"/>
  <c r="P857" i="1" a="1"/>
  <c r="P857" i="1" s="1"/>
  <c r="P858" i="1" a="1"/>
  <c r="P858" i="1"/>
  <c r="P859" i="1" a="1"/>
  <c r="P859" i="1" s="1"/>
  <c r="P860" i="1" a="1"/>
  <c r="P860" i="1" s="1"/>
  <c r="P861" i="1" a="1"/>
  <c r="P861" i="1" s="1"/>
  <c r="P862" i="1" a="1"/>
  <c r="P862" i="1" s="1"/>
  <c r="P863" i="1" a="1"/>
  <c r="P863" i="1" s="1"/>
  <c r="P864" i="1" a="1"/>
  <c r="P864" i="1"/>
  <c r="P865" i="1" a="1"/>
  <c r="P865" i="1" s="1"/>
  <c r="P866" i="1" a="1"/>
  <c r="P866" i="1"/>
  <c r="P867" i="1" a="1"/>
  <c r="P867" i="1" s="1"/>
  <c r="P868" i="1" a="1"/>
  <c r="P868" i="1" s="1"/>
  <c r="P869" i="1" a="1"/>
  <c r="P869" i="1" s="1"/>
  <c r="P870" i="1" a="1"/>
  <c r="P870" i="1" s="1"/>
  <c r="P871" i="1" a="1"/>
  <c r="P871" i="1" s="1"/>
  <c r="P872" i="1" a="1"/>
  <c r="P872" i="1"/>
  <c r="P873" i="1" a="1"/>
  <c r="P873" i="1" s="1"/>
  <c r="P874" i="1" a="1"/>
  <c r="P874" i="1"/>
  <c r="P875" i="1" a="1"/>
  <c r="P875" i="1" s="1"/>
  <c r="P876" i="1" a="1"/>
  <c r="P876" i="1" s="1"/>
  <c r="P877" i="1" a="1"/>
  <c r="P877" i="1" s="1"/>
  <c r="P878" i="1" a="1"/>
  <c r="P878" i="1" s="1"/>
  <c r="P879" i="1" a="1"/>
  <c r="P879" i="1" s="1"/>
  <c r="P880" i="1" a="1"/>
  <c r="P880" i="1"/>
  <c r="P881" i="1" a="1"/>
  <c r="P881" i="1" s="1"/>
  <c r="P882" i="1" a="1"/>
  <c r="P882" i="1"/>
  <c r="P883" i="1" a="1"/>
  <c r="P883" i="1" s="1"/>
  <c r="P884" i="1" a="1"/>
  <c r="P884" i="1" s="1"/>
  <c r="P885" i="1" a="1"/>
  <c r="P885" i="1" s="1"/>
  <c r="P886" i="1" a="1"/>
  <c r="P886" i="1" s="1"/>
  <c r="P887" i="1" a="1"/>
  <c r="P887" i="1" s="1"/>
  <c r="P888" i="1" a="1"/>
  <c r="P888" i="1"/>
  <c r="P889" i="1" a="1"/>
  <c r="P889" i="1" s="1"/>
  <c r="P890" i="1" a="1"/>
  <c r="P890" i="1"/>
  <c r="P891" i="1" a="1"/>
  <c r="P891" i="1" s="1"/>
  <c r="P892" i="1" a="1"/>
  <c r="P892" i="1" s="1"/>
  <c r="P893" i="1" a="1"/>
  <c r="P893" i="1" s="1"/>
  <c r="P894" i="1" a="1"/>
  <c r="P894" i="1" s="1"/>
  <c r="P895" i="1" a="1"/>
  <c r="P895" i="1" s="1"/>
  <c r="P896" i="1" a="1"/>
  <c r="P896" i="1"/>
  <c r="P897" i="1" a="1"/>
  <c r="P897" i="1" s="1"/>
  <c r="P898" i="1" a="1"/>
  <c r="P898" i="1"/>
  <c r="P899" i="1" a="1"/>
  <c r="P899" i="1" s="1"/>
  <c r="P900" i="1" a="1"/>
  <c r="P900" i="1" s="1"/>
  <c r="P901" i="1" a="1"/>
  <c r="P901" i="1" s="1"/>
  <c r="P902" i="1" a="1"/>
  <c r="P902" i="1" s="1"/>
  <c r="P903" i="1" a="1"/>
  <c r="P903" i="1" s="1"/>
  <c r="P904" i="1" a="1"/>
  <c r="P904" i="1"/>
  <c r="P905" i="1" a="1"/>
  <c r="P905" i="1" s="1"/>
  <c r="P906" i="1" a="1"/>
  <c r="P906" i="1"/>
  <c r="P907" i="1" a="1"/>
  <c r="P907" i="1" s="1"/>
  <c r="P908" i="1" a="1"/>
  <c r="P908" i="1" s="1"/>
  <c r="P909" i="1" a="1"/>
  <c r="P909" i="1" s="1"/>
  <c r="P910" i="1" a="1"/>
  <c r="P910" i="1" s="1"/>
  <c r="P911" i="1" a="1"/>
  <c r="P911" i="1" s="1"/>
  <c r="P912" i="1" a="1"/>
  <c r="P912" i="1"/>
  <c r="P913" i="1" a="1"/>
  <c r="P913" i="1" s="1"/>
  <c r="P914" i="1" a="1"/>
  <c r="P914" i="1"/>
  <c r="P915" i="1" a="1"/>
  <c r="P915" i="1" s="1"/>
  <c r="P916" i="1" a="1"/>
  <c r="P916" i="1" s="1"/>
  <c r="P917" i="1" a="1"/>
  <c r="P917" i="1" s="1"/>
  <c r="P918" i="1" a="1"/>
  <c r="P918" i="1" s="1"/>
  <c r="P919" i="1" a="1"/>
  <c r="P919" i="1" s="1"/>
  <c r="P920" i="1" a="1"/>
  <c r="P920" i="1"/>
  <c r="P921" i="1" a="1"/>
  <c r="P921" i="1" s="1"/>
  <c r="P922" i="1" a="1"/>
  <c r="P922" i="1"/>
  <c r="P923" i="1" a="1"/>
  <c r="P923" i="1" s="1"/>
  <c r="P924" i="1" a="1"/>
  <c r="P924" i="1" s="1"/>
  <c r="P925" i="1" a="1"/>
  <c r="P925" i="1" s="1"/>
  <c r="P926" i="1" a="1"/>
  <c r="P926" i="1" s="1"/>
  <c r="P927" i="1" a="1"/>
  <c r="P927" i="1" s="1"/>
  <c r="P928" i="1" a="1"/>
  <c r="P928" i="1"/>
  <c r="P929" i="1" a="1"/>
  <c r="P929" i="1" s="1"/>
  <c r="P930" i="1" a="1"/>
  <c r="P930" i="1"/>
  <c r="P931" i="1" a="1"/>
  <c r="P931" i="1" s="1"/>
  <c r="P932" i="1" a="1"/>
  <c r="P932" i="1" s="1"/>
  <c r="P933" i="1" a="1"/>
  <c r="P933" i="1" s="1"/>
  <c r="P934" i="1" a="1"/>
  <c r="P934" i="1" s="1"/>
  <c r="P935" i="1" a="1"/>
  <c r="P935" i="1" s="1"/>
  <c r="P936" i="1" a="1"/>
  <c r="P936" i="1"/>
  <c r="P937" i="1" a="1"/>
  <c r="P937" i="1" s="1"/>
  <c r="P938" i="1" a="1"/>
  <c r="P938" i="1"/>
  <c r="P939" i="1" a="1"/>
  <c r="P939" i="1" s="1"/>
  <c r="P940" i="1" a="1"/>
  <c r="P940" i="1" s="1"/>
  <c r="P941" i="1" a="1"/>
  <c r="P941" i="1" s="1"/>
  <c r="P942" i="1" a="1"/>
  <c r="P942" i="1" s="1"/>
  <c r="P943" i="1" a="1"/>
  <c r="P943" i="1" s="1"/>
  <c r="P944" i="1" a="1"/>
  <c r="P944" i="1"/>
  <c r="P945" i="1" a="1"/>
  <c r="P945" i="1" s="1"/>
  <c r="P946" i="1" a="1"/>
  <c r="P946" i="1"/>
  <c r="P947" i="1" a="1"/>
  <c r="P947" i="1" s="1"/>
  <c r="P948" i="1" a="1"/>
  <c r="P948" i="1" s="1"/>
  <c r="P949" i="1" a="1"/>
  <c r="P949" i="1" s="1"/>
  <c r="P950" i="1" a="1"/>
  <c r="P950" i="1" s="1"/>
  <c r="P951" i="1" a="1"/>
  <c r="P951" i="1" s="1"/>
  <c r="P952" i="1" a="1"/>
  <c r="P952" i="1"/>
  <c r="P953" i="1" a="1"/>
  <c r="P953" i="1" s="1"/>
  <c r="P954" i="1" a="1"/>
  <c r="P954" i="1"/>
  <c r="P955" i="1" a="1"/>
  <c r="P955" i="1" s="1"/>
  <c r="P956" i="1" a="1"/>
  <c r="P956" i="1" s="1"/>
  <c r="P957" i="1" a="1"/>
  <c r="P957" i="1" s="1"/>
  <c r="P958" i="1" a="1"/>
  <c r="P958" i="1" s="1"/>
  <c r="P959" i="1" a="1"/>
  <c r="P959" i="1" s="1"/>
  <c r="P960" i="1" a="1"/>
  <c r="P960" i="1"/>
  <c r="P961" i="1" a="1"/>
  <c r="P961" i="1" s="1"/>
  <c r="P962" i="1" a="1"/>
  <c r="P962" i="1"/>
  <c r="P963" i="1" a="1"/>
  <c r="P963" i="1" s="1"/>
  <c r="P964" i="1" a="1"/>
  <c r="P964" i="1" s="1"/>
  <c r="P965" i="1" a="1"/>
  <c r="P965" i="1" s="1"/>
  <c r="P966" i="1" a="1"/>
  <c r="P966" i="1" s="1"/>
  <c r="P967" i="1" a="1"/>
  <c r="P967" i="1" s="1"/>
  <c r="P968" i="1" a="1"/>
  <c r="P968" i="1"/>
  <c r="P969" i="1" a="1"/>
  <c r="P969" i="1" s="1"/>
  <c r="P970" i="1" a="1"/>
  <c r="P970" i="1"/>
  <c r="P971" i="1" a="1"/>
  <c r="P971" i="1" s="1"/>
  <c r="P972" i="1" a="1"/>
  <c r="P972" i="1" s="1"/>
  <c r="P973" i="1" a="1"/>
  <c r="P973" i="1" s="1"/>
  <c r="P974" i="1" a="1"/>
  <c r="P974" i="1" s="1"/>
  <c r="P975" i="1" a="1"/>
  <c r="P975" i="1" s="1"/>
  <c r="P976" i="1" a="1"/>
  <c r="P976" i="1"/>
  <c r="P977" i="1" a="1"/>
  <c r="P977" i="1" s="1"/>
  <c r="P978" i="1" a="1"/>
  <c r="P978" i="1" s="1"/>
  <c r="P979" i="1" a="1"/>
  <c r="P979" i="1" s="1"/>
  <c r="P980" i="1" a="1"/>
  <c r="P980" i="1" s="1"/>
  <c r="P981" i="1" a="1"/>
  <c r="P981" i="1" s="1"/>
  <c r="P982" i="1" a="1"/>
  <c r="P982" i="1" s="1"/>
  <c r="P983" i="1" a="1"/>
  <c r="P983" i="1" s="1"/>
  <c r="P984" i="1" a="1"/>
  <c r="P984" i="1"/>
  <c r="P985" i="1" a="1"/>
  <c r="P985" i="1" s="1"/>
  <c r="P986" i="1" a="1"/>
  <c r="P986" i="1" s="1"/>
  <c r="P987" i="1" a="1"/>
  <c r="P987" i="1" s="1"/>
  <c r="P988" i="1" a="1"/>
  <c r="P988" i="1" s="1"/>
  <c r="P989" i="1" a="1"/>
  <c r="P989" i="1" s="1"/>
  <c r="P990" i="1" a="1"/>
  <c r="P990" i="1" s="1"/>
  <c r="P991" i="1" a="1"/>
  <c r="P991" i="1" s="1"/>
  <c r="P992" i="1" a="1"/>
  <c r="P992" i="1"/>
  <c r="P993" i="1" a="1"/>
  <c r="P993" i="1" s="1"/>
  <c r="P994" i="1" a="1"/>
  <c r="P994" i="1" s="1"/>
  <c r="P995" i="1" a="1"/>
  <c r="P995" i="1" s="1"/>
  <c r="P996" i="1" a="1"/>
  <c r="P996" i="1" s="1"/>
  <c r="P997" i="1" a="1"/>
  <c r="P997" i="1" s="1"/>
  <c r="P998" i="1" a="1"/>
  <c r="P998" i="1" s="1"/>
  <c r="P999" i="1" a="1"/>
  <c r="P999" i="1" s="1"/>
  <c r="P1000" i="1" a="1"/>
  <c r="P1000" i="1"/>
  <c r="P1001" i="1" a="1"/>
  <c r="P1001" i="1" s="1"/>
  <c r="P1002" i="1" a="1"/>
  <c r="P1002" i="1" s="1"/>
  <c r="P1003" i="1" a="1"/>
  <c r="P1003" i="1" s="1"/>
  <c r="P1004" i="1" a="1"/>
  <c r="P1004" i="1" s="1"/>
  <c r="P1005" i="1" a="1"/>
  <c r="P1005" i="1" s="1"/>
  <c r="P1006" i="1" a="1"/>
  <c r="P1006" i="1" s="1"/>
  <c r="P1007" i="1" a="1"/>
  <c r="P1007" i="1" s="1"/>
  <c r="P1008" i="1" a="1"/>
  <c r="P1008" i="1"/>
  <c r="P1009" i="1" a="1"/>
  <c r="P1009" i="1" s="1"/>
  <c r="P1010" i="1" a="1"/>
  <c r="P1010" i="1" s="1"/>
  <c r="P1011" i="1" a="1"/>
  <c r="P1011" i="1" s="1"/>
  <c r="P1012" i="1" a="1"/>
  <c r="P1012" i="1" s="1"/>
  <c r="P1013" i="1" a="1"/>
  <c r="P1013" i="1" s="1"/>
  <c r="P1014" i="1" a="1"/>
  <c r="P1014" i="1" s="1"/>
  <c r="P1015" i="1" a="1"/>
  <c r="P1015" i="1" s="1"/>
  <c r="P1016" i="1" a="1"/>
  <c r="P1016" i="1"/>
  <c r="P1017" i="1" a="1"/>
  <c r="P1017" i="1" s="1"/>
  <c r="P1018" i="1" a="1"/>
  <c r="P1018" i="1" s="1"/>
  <c r="P1019" i="1" a="1"/>
  <c r="P1019" i="1" s="1"/>
  <c r="P1020" i="1" a="1"/>
  <c r="P1020" i="1" s="1"/>
  <c r="P1021" i="1" a="1"/>
  <c r="P1021" i="1" s="1"/>
  <c r="P1022" i="1" a="1"/>
  <c r="P1022" i="1" s="1"/>
  <c r="P1023" i="1" a="1"/>
  <c r="P1023" i="1" s="1"/>
  <c r="P1024" i="1" a="1"/>
  <c r="P1024" i="1"/>
  <c r="P1025" i="1" a="1"/>
  <c r="P1025" i="1" s="1"/>
  <c r="P1026" i="1" a="1"/>
  <c r="P1026" i="1" s="1"/>
  <c r="P1027" i="1" a="1"/>
  <c r="P1027" i="1" s="1"/>
  <c r="P1028" i="1" a="1"/>
  <c r="P1028" i="1" s="1"/>
  <c r="P1029" i="1" a="1"/>
  <c r="P1029" i="1" s="1"/>
  <c r="P1030" i="1" a="1"/>
  <c r="P1030" i="1" s="1"/>
  <c r="P1031" i="1" a="1"/>
  <c r="P1031" i="1" s="1"/>
  <c r="P1032" i="1" a="1"/>
  <c r="P1032" i="1"/>
  <c r="P1033" i="1" a="1"/>
  <c r="P1033" i="1" s="1"/>
  <c r="P1034" i="1" a="1"/>
  <c r="P1034" i="1" s="1"/>
  <c r="P1035" i="1" a="1"/>
  <c r="P1035" i="1" s="1"/>
  <c r="P1036" i="1" a="1"/>
  <c r="P1036" i="1" s="1"/>
  <c r="P1037" i="1" a="1"/>
  <c r="P1037" i="1" s="1"/>
  <c r="P1038" i="1" a="1"/>
  <c r="P1038" i="1" s="1"/>
  <c r="P1039" i="1" a="1"/>
  <c r="P1039" i="1" s="1"/>
  <c r="P1040" i="1" a="1"/>
  <c r="P1040" i="1"/>
  <c r="P1041" i="1" a="1"/>
  <c r="P1041" i="1" s="1"/>
  <c r="P1042" i="1" a="1"/>
  <c r="P1042" i="1" s="1"/>
  <c r="P1043" i="1" a="1"/>
  <c r="P1043" i="1" s="1"/>
  <c r="P1044" i="1" a="1"/>
  <c r="P1044" i="1" s="1"/>
  <c r="P1045" i="1" a="1"/>
  <c r="P1045" i="1" s="1"/>
  <c r="P1046" i="1" a="1"/>
  <c r="P1046" i="1" s="1"/>
  <c r="P1047" i="1" a="1"/>
  <c r="P1047" i="1" s="1"/>
  <c r="P1048" i="1" a="1"/>
  <c r="P1048" i="1"/>
  <c r="P1049" i="1" a="1"/>
  <c r="P1049" i="1" s="1"/>
  <c r="P1050" i="1" a="1"/>
  <c r="P1050" i="1" s="1"/>
  <c r="P1051" i="1" a="1"/>
  <c r="P1051" i="1" s="1"/>
  <c r="P1052" i="1" a="1"/>
  <c r="P1052" i="1" s="1"/>
  <c r="P1053" i="1" a="1"/>
  <c r="P1053" i="1" s="1"/>
  <c r="P1054" i="1" a="1"/>
  <c r="P1054" i="1" s="1"/>
  <c r="P1055" i="1" a="1"/>
  <c r="P1055" i="1" s="1"/>
  <c r="P1056" i="1" a="1"/>
  <c r="P1056" i="1"/>
  <c r="P1057" i="1" a="1"/>
  <c r="P1057" i="1" s="1"/>
  <c r="P1058" i="1" a="1"/>
  <c r="P1058" i="1" s="1"/>
  <c r="P1059" i="1" a="1"/>
  <c r="P1059" i="1" s="1"/>
  <c r="P1060" i="1" a="1"/>
  <c r="P1060" i="1" s="1"/>
  <c r="P1061" i="1" a="1"/>
  <c r="P1061" i="1" s="1"/>
  <c r="P1062" i="1" a="1"/>
  <c r="P1062" i="1" s="1"/>
  <c r="P1063" i="1" a="1"/>
  <c r="P1063" i="1" s="1"/>
  <c r="P1064" i="1" a="1"/>
  <c r="P1064" i="1" s="1"/>
  <c r="P1065" i="1" a="1"/>
  <c r="P1065" i="1" s="1"/>
  <c r="P1066" i="1" a="1"/>
  <c r="P1066" i="1" s="1"/>
  <c r="P1067" i="1" a="1"/>
  <c r="P1067" i="1" s="1"/>
  <c r="P1068" i="1" a="1"/>
  <c r="P1068" i="1" s="1"/>
  <c r="P1069" i="1" a="1"/>
  <c r="P1069" i="1" s="1"/>
  <c r="P1070" i="1" a="1"/>
  <c r="P1070" i="1" s="1"/>
  <c r="P1071" i="1" a="1"/>
  <c r="P1071" i="1" s="1"/>
  <c r="P1072" i="1" a="1"/>
  <c r="P1072" i="1" s="1"/>
  <c r="P1073" i="1" a="1"/>
  <c r="P1073" i="1" s="1"/>
  <c r="P1074" i="1" a="1"/>
  <c r="P1074" i="1" s="1"/>
  <c r="P1075" i="1" a="1"/>
  <c r="P1075" i="1" s="1"/>
  <c r="P1076" i="1" a="1"/>
  <c r="P1076" i="1" s="1"/>
  <c r="P1077" i="1" a="1"/>
  <c r="P1077" i="1" s="1"/>
  <c r="P1078" i="1" a="1"/>
  <c r="P1078" i="1" s="1"/>
  <c r="P1079" i="1" a="1"/>
  <c r="P1079" i="1" s="1"/>
  <c r="P1080" i="1" a="1"/>
  <c r="P1080" i="1" s="1"/>
  <c r="P1081" i="1" a="1"/>
  <c r="P1081" i="1" s="1"/>
  <c r="P1082" i="1" a="1"/>
  <c r="P1082" i="1" s="1"/>
  <c r="P1083" i="1" a="1"/>
  <c r="P1083" i="1" s="1"/>
  <c r="P1084" i="1" a="1"/>
  <c r="P1084" i="1" s="1"/>
  <c r="P1085" i="1" a="1"/>
  <c r="P1085" i="1" s="1"/>
  <c r="P1086" i="1" a="1"/>
  <c r="P1086" i="1" s="1"/>
  <c r="P1087" i="1" a="1"/>
  <c r="P1087" i="1" s="1"/>
  <c r="P1088" i="1" a="1"/>
  <c r="P1088" i="1" s="1"/>
  <c r="P1089" i="1" a="1"/>
  <c r="P1089" i="1" s="1"/>
  <c r="P1090" i="1" a="1"/>
  <c r="P1090" i="1" s="1"/>
  <c r="P1091" i="1" a="1"/>
  <c r="P1091" i="1" s="1"/>
  <c r="P1092" i="1" a="1"/>
  <c r="P1092" i="1" s="1"/>
  <c r="P1093" i="1" a="1"/>
  <c r="P1093" i="1" s="1"/>
  <c r="P1094" i="1" a="1"/>
  <c r="P1094" i="1" s="1"/>
  <c r="P1095" i="1" a="1"/>
  <c r="P1095" i="1" s="1"/>
  <c r="P1096" i="1" a="1"/>
  <c r="P1096" i="1" s="1"/>
  <c r="P1097" i="1" a="1"/>
  <c r="P1097" i="1" s="1"/>
  <c r="P1098" i="1" a="1"/>
  <c r="P1098" i="1" s="1"/>
  <c r="P1099" i="1" a="1"/>
  <c r="P1099" i="1" s="1"/>
  <c r="P1100" i="1" a="1"/>
  <c r="P1100" i="1" s="1"/>
  <c r="P1101" i="1" a="1"/>
  <c r="P1101" i="1" s="1"/>
  <c r="P1102" i="1" a="1"/>
  <c r="P1102" i="1" s="1"/>
  <c r="P1103" i="1" a="1"/>
  <c r="P1103" i="1" s="1"/>
  <c r="P1104" i="1" a="1"/>
  <c r="P1104" i="1" s="1"/>
  <c r="P1105" i="1" a="1"/>
  <c r="P1105" i="1" s="1"/>
  <c r="P1106" i="1" a="1"/>
  <c r="P1106" i="1" s="1"/>
  <c r="P1107" i="1" a="1"/>
  <c r="P1107" i="1" s="1"/>
  <c r="P1108" i="1" a="1"/>
  <c r="P1108" i="1" s="1"/>
  <c r="P1109" i="1" a="1"/>
  <c r="P1109" i="1" s="1"/>
  <c r="P1110" i="1" a="1"/>
  <c r="P1110" i="1" s="1"/>
  <c r="P1111" i="1" a="1"/>
  <c r="P1111" i="1" s="1"/>
  <c r="P1112" i="1" a="1"/>
  <c r="P1112" i="1" s="1"/>
  <c r="P1113" i="1" a="1"/>
  <c r="P1113" i="1" s="1"/>
  <c r="P1114" i="1" a="1"/>
  <c r="P1114" i="1" s="1"/>
  <c r="P1115" i="1" a="1"/>
  <c r="P1115" i="1" s="1"/>
  <c r="P1116" i="1" a="1"/>
  <c r="P1116" i="1" s="1"/>
  <c r="P1117" i="1" a="1"/>
  <c r="P1117" i="1" s="1"/>
  <c r="P1118" i="1" a="1"/>
  <c r="P1118" i="1" s="1"/>
  <c r="P1119" i="1" a="1"/>
  <c r="P1119" i="1" s="1"/>
  <c r="P1120" i="1" a="1"/>
  <c r="P1120" i="1" s="1"/>
  <c r="P1121" i="1" a="1"/>
  <c r="P1121" i="1" s="1"/>
  <c r="P1122" i="1" a="1"/>
  <c r="P1122" i="1" s="1"/>
  <c r="P1123" i="1" a="1"/>
  <c r="P1123" i="1" s="1"/>
  <c r="P1124" i="1" a="1"/>
  <c r="P1124" i="1" s="1"/>
  <c r="P1125" i="1" a="1"/>
  <c r="P1125" i="1" s="1"/>
  <c r="P1126" i="1" a="1"/>
  <c r="P1126" i="1" s="1"/>
  <c r="P1127" i="1" a="1"/>
  <c r="P1127" i="1" s="1"/>
  <c r="P1128" i="1" a="1"/>
  <c r="P1128" i="1" s="1"/>
  <c r="P1129" i="1" a="1"/>
  <c r="P1129" i="1" s="1"/>
  <c r="P1130" i="1" a="1"/>
  <c r="P1130" i="1" s="1"/>
  <c r="P1131" i="1" a="1"/>
  <c r="P1131" i="1" s="1"/>
  <c r="P1132" i="1" a="1"/>
  <c r="P1132" i="1" s="1"/>
  <c r="P1133" i="1" a="1"/>
  <c r="P1133" i="1" s="1"/>
  <c r="P1134" i="1" a="1"/>
  <c r="P1134" i="1" s="1"/>
  <c r="P1135" i="1" a="1"/>
  <c r="P1135" i="1" s="1"/>
  <c r="P1136" i="1" a="1"/>
  <c r="P1136" i="1" s="1"/>
  <c r="P1137" i="1" a="1"/>
  <c r="P1137" i="1" s="1"/>
  <c r="P1138" i="1" a="1"/>
  <c r="P1138" i="1" s="1"/>
  <c r="P1139" i="1" a="1"/>
  <c r="P1139" i="1" s="1"/>
  <c r="P1140" i="1" a="1"/>
  <c r="P1140" i="1" s="1"/>
  <c r="P1141" i="1" a="1"/>
  <c r="P1141" i="1" s="1"/>
  <c r="P1142" i="1" a="1"/>
  <c r="P1142" i="1" s="1"/>
  <c r="P1143" i="1" a="1"/>
  <c r="P1143" i="1" s="1"/>
  <c r="P1144" i="1" a="1"/>
  <c r="P1144" i="1" s="1"/>
  <c r="P1145" i="1" a="1"/>
  <c r="P1145" i="1" s="1"/>
  <c r="P1146" i="1" a="1"/>
  <c r="P1146" i="1" s="1"/>
  <c r="P1147" i="1" a="1"/>
  <c r="P1147" i="1" s="1"/>
  <c r="P1148" i="1" a="1"/>
  <c r="P1148" i="1" s="1"/>
  <c r="P1149" i="1" a="1"/>
  <c r="P1149" i="1" s="1"/>
  <c r="P1150" i="1" a="1"/>
  <c r="P1150" i="1" s="1"/>
  <c r="P1151" i="1" a="1"/>
  <c r="P1151" i="1" s="1"/>
  <c r="P1152" i="1" a="1"/>
  <c r="P1152" i="1" s="1"/>
  <c r="P1153" i="1" a="1"/>
  <c r="P1153" i="1" s="1"/>
  <c r="P1154" i="1" a="1"/>
  <c r="P1154" i="1" s="1"/>
  <c r="P1155" i="1" a="1"/>
  <c r="P1155" i="1" s="1"/>
  <c r="P1156" i="1" a="1"/>
  <c r="P1156" i="1" s="1"/>
  <c r="P1157" i="1" a="1"/>
  <c r="P1157" i="1" s="1"/>
  <c r="P1158" i="1" a="1"/>
  <c r="P1158" i="1"/>
  <c r="P1159" i="1" a="1"/>
  <c r="P1159" i="1" s="1"/>
  <c r="P1160" i="1" a="1"/>
  <c r="P1160" i="1" s="1"/>
  <c r="P1161" i="1" a="1"/>
  <c r="P1161" i="1" s="1"/>
  <c r="P1162" i="1" a="1"/>
  <c r="P1162" i="1"/>
  <c r="P1163" i="1" a="1"/>
  <c r="P1163" i="1" s="1"/>
  <c r="P1164" i="1" a="1"/>
  <c r="P1164" i="1" s="1"/>
  <c r="P1165" i="1" a="1"/>
  <c r="P1165" i="1" s="1"/>
  <c r="P1166" i="1" a="1"/>
  <c r="P1166" i="1"/>
  <c r="P1167" i="1" a="1"/>
  <c r="P1167" i="1" s="1"/>
  <c r="P1168" i="1" a="1"/>
  <c r="P1168" i="1" s="1"/>
  <c r="P1169" i="1" a="1"/>
  <c r="P1169" i="1" s="1"/>
  <c r="P1170" i="1" a="1"/>
  <c r="P1170" i="1"/>
  <c r="P1171" i="1" a="1"/>
  <c r="P1171" i="1" s="1"/>
  <c r="P1172" i="1" a="1"/>
  <c r="P1172" i="1" s="1"/>
  <c r="P1173" i="1" a="1"/>
  <c r="P1173" i="1" s="1"/>
  <c r="P1174" i="1" a="1"/>
  <c r="P1174" i="1"/>
  <c r="P1175" i="1" a="1"/>
  <c r="P1175" i="1" s="1"/>
  <c r="P1176" i="1" a="1"/>
  <c r="P1176" i="1" s="1"/>
  <c r="P1177" i="1" a="1"/>
  <c r="P1177" i="1" s="1"/>
  <c r="P1178" i="1" a="1"/>
  <c r="P1178" i="1"/>
  <c r="P1179" i="1" a="1"/>
  <c r="P1179" i="1" s="1"/>
  <c r="P1180" i="1" a="1"/>
  <c r="P1180" i="1" s="1"/>
  <c r="P1181" i="1" a="1"/>
  <c r="P1181" i="1" s="1"/>
  <c r="P1182" i="1" a="1"/>
  <c r="P1182" i="1"/>
  <c r="P1183" i="1" a="1"/>
  <c r="P1183" i="1" s="1"/>
  <c r="P1184" i="1" a="1"/>
  <c r="P1184" i="1" s="1"/>
  <c r="P1185" i="1" a="1"/>
  <c r="P1185" i="1" s="1"/>
  <c r="P1186" i="1" a="1"/>
  <c r="P1186" i="1"/>
  <c r="P1187" i="1" a="1"/>
  <c r="P1187" i="1" s="1"/>
  <c r="P1188" i="1" a="1"/>
  <c r="P1188" i="1" s="1"/>
  <c r="P1189" i="1" a="1"/>
  <c r="P1189" i="1" s="1"/>
  <c r="P1190" i="1" a="1"/>
  <c r="P1190" i="1"/>
  <c r="P1191" i="1" a="1"/>
  <c r="P1191" i="1" s="1"/>
  <c r="P1192" i="1" a="1"/>
  <c r="P1192" i="1" s="1"/>
  <c r="P1193" i="1" a="1"/>
  <c r="P1193" i="1" s="1"/>
  <c r="P1194" i="1" a="1"/>
  <c r="P1194" i="1"/>
  <c r="P1195" i="1" a="1"/>
  <c r="P1195" i="1" s="1"/>
  <c r="P1196" i="1" a="1"/>
  <c r="P1196" i="1" s="1"/>
  <c r="P1197" i="1" a="1"/>
  <c r="P1197" i="1" s="1"/>
  <c r="P1198" i="1" a="1"/>
  <c r="P1198" i="1"/>
  <c r="P1199" i="1" a="1"/>
  <c r="P1199" i="1" s="1"/>
  <c r="P1200" i="1" a="1"/>
  <c r="P1200" i="1" s="1"/>
  <c r="P1201" i="1" a="1"/>
  <c r="P1201" i="1" s="1"/>
  <c r="P2" i="1" a="1"/>
  <c r="P2" i="1" s="1"/>
  <c r="B38" i="2" a="1"/>
  <c r="B38" i="2" s="1"/>
  <c r="B39" i="2"/>
  <c r="B36" i="2" a="1"/>
  <c r="B36" i="2" s="1"/>
  <c r="B35" i="2"/>
  <c r="B34" i="2"/>
  <c r="B32" i="2" a="1"/>
  <c r="B32" i="2" s="1"/>
  <c r="B31" i="2" a="1"/>
  <c r="B31" i="2" s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B30" i="2" a="1"/>
  <c r="B30" i="2" s="1"/>
  <c r="B28" i="2"/>
  <c r="B27" i="2"/>
  <c r="B25" i="2" a="1"/>
  <c r="B25" i="2" s="1"/>
  <c r="B24" i="2" a="1"/>
  <c r="B24" i="2" s="1"/>
  <c r="B23" i="2" a="1"/>
  <c r="B23" i="2" s="1"/>
  <c r="B22" i="2" a="1"/>
  <c r="B22" i="2" s="1"/>
  <c r="B20" i="2" a="1"/>
  <c r="B20" i="2" s="1"/>
  <c r="B18" i="2"/>
  <c r="B17" i="2"/>
  <c r="B16" i="2"/>
  <c r="B15" i="2"/>
  <c r="B14" i="2"/>
  <c r="B12" i="2" a="1"/>
  <c r="B12" i="2" s="1"/>
  <c r="B11" i="2" a="1"/>
  <c r="B11" i="2" s="1"/>
  <c r="B10" i="2" a="1"/>
  <c r="B10" i="2" s="1"/>
  <c r="B8" i="2"/>
  <c r="B7" i="2"/>
  <c r="B6" i="2"/>
  <c r="B5" i="2"/>
  <c r="B4" i="2"/>
</calcChain>
</file>

<file path=xl/sharedStrings.xml><?xml version="1.0" encoding="utf-8"?>
<sst xmlns="http://schemas.openxmlformats.org/spreadsheetml/2006/main" count="10858" uniqueCount="4328">
  <si>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</si>
  <si>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</si>
  <si>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</si>
  <si>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</si>
  <si>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</si>
  <si>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</si>
  <si>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</si>
  <si>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</si>
  <si>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</si>
  <si>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</si>
  <si>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</si>
  <si>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</si>
  <si>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</si>
  <si>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</si>
  <si>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</si>
  <si>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</si>
  <si>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</si>
  <si>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</si>
  <si>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</si>
  <si>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</si>
  <si>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</si>
  <si>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</si>
  <si>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</si>
  <si>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</si>
  <si>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</si>
  <si>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</si>
  <si>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</si>
  <si>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</si>
  <si>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</si>
  <si>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</si>
  <si>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</si>
  <si>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</si>
  <si>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</si>
  <si>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</si>
  <si>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</si>
  <si>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</si>
  <si>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</si>
  <si>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</si>
  <si>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</si>
  <si>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</si>
  <si>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</si>
  <si>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</si>
  <si>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</si>
  <si>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</si>
  <si>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</si>
  <si>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</si>
  <si>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</si>
  <si>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</si>
  <si>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</si>
  <si>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</si>
  <si>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</si>
  <si>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</si>
  <si>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</si>
  <si>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</si>
  <si>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</si>
  <si>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</si>
  <si>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</si>
  <si>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</si>
  <si>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</si>
  <si>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</si>
  <si>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</si>
  <si>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</si>
  <si>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</si>
  <si>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</si>
  <si>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</si>
  <si>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</si>
  <si>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</si>
  <si>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</si>
  <si>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</si>
  <si>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</si>
  <si>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</si>
  <si>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</si>
  <si>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</si>
  <si>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</si>
  <si>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</si>
  <si>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</si>
  <si>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</si>
  <si>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</si>
  <si>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</si>
  <si>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</si>
  <si>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</si>
  <si>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</si>
  <si>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</si>
  <si>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</si>
  <si>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</si>
  <si>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</si>
  <si>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</si>
  <si>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</si>
  <si>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</si>
  <si>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</si>
  <si>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</si>
  <si>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</si>
  <si>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</si>
  <si>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</si>
  <si>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</si>
  <si>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</si>
  <si>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</si>
  <si>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</si>
  <si>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</si>
  <si>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</si>
  <si>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</si>
  <si>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</si>
  <si>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</si>
  <si>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</si>
  <si>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</si>
  <si>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</si>
  <si>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</si>
  <si>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</si>
  <si>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</si>
  <si>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</si>
  <si>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</si>
  <si>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</si>
  <si>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</si>
  <si>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</si>
  <si>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</si>
  <si>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</si>
  <si>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</si>
  <si>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</si>
  <si>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</si>
  <si>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</si>
  <si>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</si>
  <si>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</si>
  <si>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</si>
  <si>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</si>
  <si>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</si>
  <si>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</si>
  <si>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</si>
  <si>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</si>
  <si>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</si>
  <si>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</si>
  <si>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</si>
  <si>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</si>
  <si>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</si>
  <si>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</si>
  <si>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</si>
  <si>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</si>
  <si>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</si>
  <si>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</si>
  <si>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</si>
  <si>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</si>
  <si>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</si>
  <si>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</si>
  <si>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</si>
  <si>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</si>
  <si>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</si>
  <si>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</si>
  <si>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</si>
  <si>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</si>
  <si>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</si>
  <si>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</si>
  <si>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</si>
  <si>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</si>
  <si>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</si>
  <si>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</si>
  <si>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</si>
  <si>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</si>
  <si>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</si>
  <si>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</si>
  <si>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</si>
  <si>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</si>
  <si>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</si>
  <si>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</si>
  <si>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</si>
  <si>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</si>
  <si>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</si>
  <si>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</si>
  <si>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</si>
  <si>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</si>
  <si>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</si>
  <si>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</si>
  <si>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</si>
  <si>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</si>
  <si>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</si>
  <si>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</si>
  <si>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</si>
  <si>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</si>
  <si>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</si>
  <si>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</si>
  <si>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</si>
  <si>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</si>
  <si>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</si>
  <si>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</si>
  <si>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</si>
  <si>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</si>
  <si>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</si>
  <si>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</si>
  <si>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</si>
  <si>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</si>
  <si>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</si>
  <si>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</si>
  <si>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</si>
  <si>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</si>
  <si>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</si>
  <si>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</si>
  <si>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</si>
  <si>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</si>
  <si>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</si>
  <si>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</si>
  <si>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</si>
  <si>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</si>
  <si>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</si>
  <si>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</si>
  <si>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</si>
  <si>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</si>
  <si>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</si>
  <si>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</si>
  <si>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</si>
  <si>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</si>
  <si>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</si>
  <si>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</si>
  <si>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</si>
  <si>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</si>
  <si>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</si>
  <si>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</si>
  <si>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</si>
  <si>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</si>
  <si>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</si>
  <si>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</si>
  <si>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</si>
  <si>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</si>
  <si>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</si>
  <si>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</si>
  <si>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</si>
  <si>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</si>
  <si>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</si>
  <si>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</si>
  <si>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</si>
  <si>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</si>
  <si>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</si>
  <si>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</si>
  <si>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</si>
  <si>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</si>
  <si>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</si>
  <si>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</si>
  <si>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</si>
  <si>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</si>
  <si>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</si>
  <si>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</si>
  <si>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</si>
  <si>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</si>
  <si>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</si>
  <si>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</si>
  <si>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</si>
  <si>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</si>
  <si>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</si>
  <si>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</si>
  <si>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</si>
  <si>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</si>
  <si>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</si>
  <si>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</si>
  <si>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</si>
  <si>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</si>
  <si>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</si>
  <si>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</si>
  <si>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</si>
  <si>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</si>
  <si>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</si>
  <si>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</si>
  <si>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</si>
  <si>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</si>
  <si>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</si>
  <si>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</si>
  <si>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</si>
  <si>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</si>
  <si>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</si>
  <si>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</si>
  <si>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</si>
  <si>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</si>
  <si>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</si>
  <si>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</si>
  <si>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</si>
  <si>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</si>
  <si>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</si>
  <si>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</si>
  <si>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</si>
  <si>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</si>
  <si>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</si>
  <si>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</si>
  <si>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</si>
  <si>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</si>
  <si>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</si>
  <si>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</si>
  <si>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</si>
  <si>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</si>
  <si>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</si>
  <si>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</si>
  <si>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</si>
  <si>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</si>
  <si>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</si>
  <si>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</si>
  <si>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</si>
  <si>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</si>
  <si>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</si>
  <si>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</si>
  <si>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</si>
  <si>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</si>
  <si>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</si>
  <si>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</si>
  <si>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</si>
  <si>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</si>
  <si>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</si>
  <si>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</si>
  <si>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</si>
  <si>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</si>
  <si>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</si>
  <si>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</si>
  <si>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</si>
  <si>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</si>
  <si>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</si>
  <si>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</si>
  <si>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</si>
  <si>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</si>
  <si>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</si>
  <si>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</si>
  <si>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</si>
  <si>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</si>
  <si>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</si>
  <si>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</si>
  <si>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</si>
  <si>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</si>
  <si>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</si>
  <si>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</si>
  <si>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</si>
  <si>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</si>
  <si>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</si>
  <si>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</si>
  <si>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</si>
  <si>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</si>
  <si>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</si>
  <si>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</si>
  <si>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</si>
  <si>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</si>
  <si>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</si>
  <si>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</si>
  <si>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</si>
  <si>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</si>
  <si>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</si>
  <si>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</si>
  <si>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</si>
  <si>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</si>
  <si>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</si>
  <si>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</si>
  <si>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</si>
  <si>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</si>
  <si>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</si>
  <si>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</si>
  <si>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</si>
  <si>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</si>
  <si>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</si>
  <si>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</si>
  <si>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</si>
  <si>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</si>
  <si>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</si>
  <si>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</si>
  <si>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</si>
  <si>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</si>
  <si>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</si>
  <si>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</si>
  <si>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</si>
  <si>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</si>
  <si>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</si>
  <si>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</si>
  <si>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</si>
  <si>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</si>
  <si>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</si>
  <si>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</si>
  <si>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</si>
  <si>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</si>
  <si>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</si>
  <si>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</si>
  <si>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</si>
  <si>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</si>
  <si>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</si>
  <si>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</si>
  <si>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</si>
  <si>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</si>
  <si>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</si>
  <si>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</si>
  <si>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</si>
  <si>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</si>
  <si>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</si>
  <si>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</si>
  <si>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</si>
  <si>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</si>
  <si>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</si>
  <si>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</si>
  <si>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</si>
  <si>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</si>
  <si>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</si>
  <si>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</si>
  <si>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</si>
  <si>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</si>
  <si>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</si>
  <si>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</si>
  <si>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</si>
  <si>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</si>
  <si>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</si>
  <si>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</si>
  <si>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</si>
  <si>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</si>
  <si>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</si>
  <si>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</si>
  <si>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</si>
  <si>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</si>
  <si>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</si>
  <si>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</si>
  <si>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</si>
  <si>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</si>
  <si>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</si>
  <si>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</si>
  <si>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</si>
  <si>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</si>
  <si>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</si>
  <si>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</si>
  <si>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</si>
  <si>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</si>
  <si>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</si>
  <si>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</si>
  <si>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</si>
  <si>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</si>
  <si>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</si>
  <si>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</si>
  <si>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</si>
  <si>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</si>
  <si>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</si>
  <si>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</si>
  <si>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</si>
  <si>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</si>
  <si>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</si>
  <si>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</si>
  <si>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</si>
  <si>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</si>
  <si>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</si>
  <si>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</si>
  <si>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</si>
  <si>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</si>
  <si>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</si>
  <si>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</si>
  <si>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</si>
  <si>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</si>
  <si>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</si>
  <si>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</si>
  <si>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</si>
  <si>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</si>
  <si>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</si>
  <si>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</si>
  <si>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</si>
  <si>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</si>
  <si>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</si>
  <si>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</si>
  <si>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</si>
  <si>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</si>
  <si>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</si>
  <si>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</si>
  <si>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</si>
  <si>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</si>
  <si>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</si>
  <si>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</si>
  <si>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</si>
  <si>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</si>
  <si>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</si>
  <si>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</si>
  <si>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</si>
  <si>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</si>
  <si>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</si>
  <si>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</si>
  <si>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</si>
  <si>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</si>
  <si>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</si>
  <si>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</si>
  <si>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</si>
  <si>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</si>
  <si>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</si>
  <si>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</si>
  <si>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</si>
  <si>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</si>
  <si>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</si>
  <si>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</si>
  <si>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</si>
  <si>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</si>
  <si>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</si>
  <si>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</si>
  <si>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</si>
  <si>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</si>
  <si>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</si>
  <si>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</si>
  <si>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</si>
  <si>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</si>
  <si>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</si>
  <si>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</si>
  <si>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</si>
  <si>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</si>
  <si>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</si>
  <si>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</si>
  <si>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</si>
  <si>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</si>
  <si>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</si>
  <si>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</si>
  <si>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</si>
  <si>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</si>
  <si>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</si>
  <si>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</si>
  <si>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</si>
  <si>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</si>
  <si>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</si>
  <si>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</si>
  <si>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</si>
  <si>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</si>
  <si>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</si>
  <si>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</si>
  <si>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</si>
  <si>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</si>
  <si>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</si>
  <si>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</si>
  <si>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</si>
  <si>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</si>
  <si>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</si>
  <si>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</si>
  <si>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</si>
  <si>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</si>
  <si>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</si>
  <si>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</si>
  <si>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</si>
  <si>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</si>
  <si>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</si>
  <si>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</si>
  <si>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</si>
  <si>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</si>
  <si>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</si>
  <si>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</si>
  <si>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</si>
  <si>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</si>
  <si>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</si>
  <si>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</si>
  <si>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</si>
  <si>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</si>
  <si>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</si>
  <si>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</si>
  <si>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</si>
  <si>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</si>
  <si>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</si>
  <si>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</si>
  <si>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</si>
  <si>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</si>
  <si>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</si>
  <si>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</si>
  <si>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</si>
  <si>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</si>
  <si>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</si>
  <si>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</si>
  <si>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</si>
  <si>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</si>
  <si>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</si>
  <si>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</si>
  <si>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</si>
  <si>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</si>
  <si>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</si>
  <si>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</si>
  <si>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</si>
  <si>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</si>
  <si>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</si>
  <si>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</si>
  <si>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</si>
  <si>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</si>
  <si>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</si>
  <si>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</si>
  <si>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</si>
  <si>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</si>
  <si>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</si>
  <si>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</si>
  <si>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</si>
  <si>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</si>
  <si>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</si>
  <si>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</si>
  <si>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</si>
  <si>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</si>
  <si>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</si>
  <si>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</si>
  <si>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</si>
  <si>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</si>
  <si>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</si>
  <si>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</si>
  <si>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</si>
  <si>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</si>
  <si>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</si>
  <si>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</si>
  <si>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</si>
  <si>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</si>
  <si>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</si>
  <si>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</si>
  <si>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</si>
  <si>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</si>
  <si>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</si>
  <si>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</si>
  <si>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</si>
  <si>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</si>
  <si>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</si>
  <si>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</si>
  <si>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</si>
  <si>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</si>
  <si>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</si>
  <si>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</si>
  <si>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</si>
  <si>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</si>
  <si>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</si>
  <si>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</si>
  <si>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</si>
  <si>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</si>
  <si>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</si>
  <si>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</si>
  <si>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</si>
  <si>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</si>
  <si>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</si>
  <si>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</si>
  <si>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</si>
  <si>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</si>
  <si>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</si>
  <si>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</si>
  <si>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</si>
  <si>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</si>
  <si>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</si>
  <si>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</si>
  <si>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</si>
  <si>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</si>
  <si>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</si>
  <si>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</si>
  <si>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</si>
  <si>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</si>
  <si>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</si>
  <si>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</si>
  <si>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</si>
  <si>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</si>
  <si>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</si>
  <si>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</si>
  <si>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</si>
  <si>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</si>
  <si>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</si>
  <si>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</si>
  <si>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</si>
  <si>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</si>
  <si>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</si>
  <si>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</si>
  <si>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</si>
  <si>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</si>
  <si>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</si>
  <si>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</si>
  <si>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</si>
  <si>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</si>
  <si>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</si>
  <si>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</si>
  <si>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</si>
  <si>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</si>
  <si>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</si>
  <si>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</si>
  <si>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</si>
  <si>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</si>
  <si>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</si>
  <si>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</si>
  <si>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</si>
  <si>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</si>
  <si>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</si>
  <si>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</si>
  <si>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</si>
  <si>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</si>
  <si>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</si>
  <si>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</si>
  <si>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</si>
  <si>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</si>
  <si>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</si>
  <si>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</si>
  <si>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</si>
  <si>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</si>
  <si>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</si>
  <si>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</si>
  <si>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</si>
  <si>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</si>
  <si>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</si>
  <si>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</si>
  <si>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</si>
  <si>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</si>
  <si>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</si>
  <si>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</si>
  <si>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</si>
  <si>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</si>
  <si>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</si>
  <si>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</si>
  <si>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</si>
  <si>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</si>
  <si>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</si>
  <si>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</si>
  <si>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</si>
  <si>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</si>
  <si>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</si>
  <si>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</si>
  <si>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</si>
  <si>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</si>
  <si>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</si>
  <si>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</si>
  <si>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</si>
  <si>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</si>
  <si>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</si>
  <si>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</si>
  <si>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</si>
  <si>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</si>
  <si>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</si>
  <si>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</si>
  <si>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</si>
  <si>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</si>
  <si>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</si>
  <si>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</si>
  <si>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</si>
  <si>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</si>
  <si>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</si>
  <si>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</si>
  <si>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</si>
  <si>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</si>
  <si>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</si>
  <si>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</si>
  <si>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</si>
  <si>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</si>
  <si>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</si>
  <si>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</si>
  <si>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</si>
  <si>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</si>
  <si>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</si>
  <si>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</si>
  <si>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</si>
  <si>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</si>
  <si>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</si>
  <si>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</si>
  <si>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</si>
  <si>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</si>
  <si>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</si>
  <si>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</si>
  <si>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</si>
  <si>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</si>
  <si>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</si>
  <si>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</si>
  <si>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</si>
  <si>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</si>
  <si>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</si>
  <si>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</si>
  <si>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</si>
  <si>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</si>
  <si>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</si>
  <si>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</si>
  <si>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</si>
  <si>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</si>
  <si>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</si>
  <si>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</si>
  <si>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</si>
  <si>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</si>
  <si>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</si>
  <si>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</si>
  <si>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</si>
  <si>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</si>
  <si>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</si>
  <si>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</si>
  <si>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</si>
  <si>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</si>
  <si>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</si>
  <si>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</si>
  <si>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</si>
  <si>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</si>
  <si>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</si>
  <si>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</si>
  <si>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</si>
  <si>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</si>
  <si>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</si>
  <si>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</si>
  <si>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</si>
  <si>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</si>
  <si>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</si>
  <si>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</si>
  <si>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</si>
  <si>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</si>
  <si>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</si>
  <si>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</si>
  <si>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</si>
  <si>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</si>
  <si>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</si>
  <si>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</si>
  <si>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</si>
  <si>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</si>
  <si>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</si>
  <si>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</si>
  <si>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</si>
  <si>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</si>
  <si>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</si>
  <si>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</si>
  <si>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</si>
  <si>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</si>
  <si>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</si>
  <si>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</si>
  <si>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</si>
  <si>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</si>
  <si>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</si>
  <si>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</si>
  <si>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</si>
  <si>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</si>
  <si>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</si>
  <si>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</si>
  <si>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</si>
  <si>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</si>
  <si>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</si>
  <si>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</si>
  <si>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</si>
  <si>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</si>
  <si>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</si>
  <si>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</si>
  <si>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</si>
  <si>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</si>
  <si>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</si>
  <si>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</si>
  <si>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</si>
  <si>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</si>
  <si>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</si>
  <si>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</si>
  <si>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</si>
  <si>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</si>
  <si>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</si>
  <si>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</si>
  <si>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</si>
  <si>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</si>
  <si>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</si>
  <si>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</si>
  <si>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</si>
  <si>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</si>
  <si>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</si>
  <si>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</si>
  <si>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</si>
  <si>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</si>
  <si>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</si>
  <si>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</si>
  <si>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</si>
  <si>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</si>
  <si>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</si>
  <si>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</si>
  <si>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</si>
  <si>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</si>
  <si>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</si>
  <si>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</si>
  <si>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</si>
  <si>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</si>
  <si>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</si>
  <si>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</si>
  <si>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</si>
  <si>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</si>
  <si>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</si>
  <si>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</si>
  <si>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</si>
  <si>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</si>
  <si>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</si>
  <si>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</si>
  <si>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</si>
  <si>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</si>
  <si>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</si>
  <si>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</si>
  <si>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</si>
  <si>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</si>
  <si>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</si>
  <si>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</si>
  <si>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</si>
  <si>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</si>
  <si>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</si>
  <si>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</si>
  <si>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</si>
  <si>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</si>
  <si>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</si>
  <si>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</si>
  <si>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</si>
  <si>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</si>
  <si>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</si>
  <si>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</si>
  <si>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</si>
  <si>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</si>
  <si>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</si>
  <si>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</si>
  <si>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</si>
  <si>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</si>
  <si>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</si>
  <si>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</si>
  <si>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</si>
  <si>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</si>
  <si>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</si>
  <si>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</si>
  <si>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</si>
  <si>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</si>
  <si>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</si>
  <si>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</si>
  <si>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</si>
  <si>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</si>
  <si>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</si>
  <si>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</si>
  <si>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</si>
  <si>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</si>
  <si>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</si>
  <si>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</si>
  <si>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</si>
  <si>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</si>
  <si>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</si>
  <si>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</si>
  <si>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</si>
  <si>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</si>
  <si>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</si>
  <si>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</si>
  <si>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</si>
  <si>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</si>
  <si>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</si>
  <si>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</si>
  <si>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</si>
  <si>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</si>
  <si>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</si>
  <si>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</si>
  <si>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</si>
  <si>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</si>
  <si>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</si>
  <si>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</si>
  <si>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</si>
  <si>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</si>
  <si>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</si>
  <si>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</si>
  <si>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</si>
  <si>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</si>
  <si>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</si>
  <si>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</si>
  <si>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</si>
  <si>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</si>
  <si>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</si>
  <si>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</si>
  <si>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</si>
  <si>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</si>
  <si>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</si>
  <si>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</si>
  <si>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</si>
  <si>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</si>
  <si>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</si>
  <si>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</si>
  <si>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</si>
  <si>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</si>
  <si>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</si>
  <si>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</si>
  <si>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</si>
  <si>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</si>
  <si>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</si>
  <si>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</si>
  <si>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</si>
  <si>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</si>
  <si>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</si>
  <si>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</si>
  <si>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</si>
  <si>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</si>
  <si>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</si>
  <si>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</si>
  <si>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</si>
  <si>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</si>
  <si>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</si>
  <si>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</si>
  <si>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</si>
  <si>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</si>
  <si>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</si>
  <si>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</si>
  <si>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</si>
  <si>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</si>
  <si>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</si>
  <si>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</si>
  <si>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</si>
  <si>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</si>
  <si>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</si>
  <si>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</si>
  <si>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</si>
  <si>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</si>
  <si>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</si>
  <si>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</si>
  <si>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</si>
  <si>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</si>
  <si>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</si>
  <si>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</si>
  <si>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</si>
  <si>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</si>
  <si>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</si>
  <si>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</si>
  <si>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</si>
  <si>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</si>
  <si>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</si>
  <si>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</si>
  <si>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</si>
  <si>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</si>
  <si>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</si>
  <si>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</si>
  <si>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</si>
  <si>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</si>
  <si>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</si>
  <si>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</si>
  <si>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</si>
  <si>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</si>
  <si>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</si>
  <si>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</si>
  <si>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</si>
  <si>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</si>
  <si>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</si>
  <si>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</si>
  <si>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</si>
  <si>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</si>
  <si>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</si>
  <si>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</si>
  <si>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</si>
  <si>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</si>
  <si>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</si>
  <si>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</si>
  <si>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</si>
  <si>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</si>
  <si>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</si>
  <si>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</si>
  <si>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</si>
  <si>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</si>
  <si>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</si>
  <si>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</si>
  <si>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</si>
  <si>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</si>
  <si>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</si>
  <si>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</si>
  <si>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</si>
  <si>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</si>
  <si>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</si>
  <si>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</si>
  <si>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</si>
  <si>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</si>
  <si>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</si>
  <si>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</si>
  <si>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</si>
  <si>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</si>
  <si>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</si>
  <si>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</si>
  <si>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</si>
  <si>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</si>
  <si>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</si>
  <si>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</si>
  <si>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</si>
  <si>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</si>
  <si>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</si>
  <si>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</si>
  <si>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</si>
  <si>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</si>
  <si>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</si>
  <si>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</si>
  <si>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</si>
  <si>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</si>
  <si>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</si>
  <si>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</si>
  <si>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</si>
  <si>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</si>
  <si>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</si>
  <si>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</si>
  <si>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</si>
  <si>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</si>
  <si>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</si>
  <si>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</si>
  <si>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</si>
  <si>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</si>
  <si>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</si>
  <si>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</si>
  <si>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</si>
  <si>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</si>
  <si>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</si>
  <si>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</si>
  <si>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</si>
  <si>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</si>
  <si>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</si>
  <si>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</si>
  <si>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</si>
  <si>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</si>
  <si>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</si>
  <si>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</si>
  <si>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</si>
  <si>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</si>
  <si>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</si>
  <si>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</si>
  <si>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</si>
  <si>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</si>
  <si>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</si>
  <si>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</si>
  <si>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</si>
  <si>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</si>
  <si>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</si>
  <si>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</si>
  <si>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</si>
  <si>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</si>
  <si>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</si>
  <si>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</si>
  <si>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</si>
  <si>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</si>
  <si>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</si>
  <si>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</si>
  <si>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</si>
  <si>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</si>
  <si>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</si>
  <si>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</si>
  <si>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</si>
  <si>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</si>
  <si>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</si>
  <si>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</si>
  <si>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</si>
  <si>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</si>
  <si>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</si>
  <si>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</si>
  <si>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</si>
  <si>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</si>
  <si>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</si>
  <si>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</si>
  <si>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</si>
  <si>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</si>
  <si>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</si>
  <si>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</si>
  <si>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</si>
  <si>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</si>
  <si>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</si>
  <si>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</si>
  <si>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</si>
  <si>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</si>
  <si>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</si>
  <si>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</si>
  <si>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</si>
  <si>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</si>
  <si>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</si>
  <si>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</si>
  <si>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</si>
  <si>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</si>
  <si>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</si>
  <si>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</si>
  <si>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</si>
  <si>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</si>
  <si>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</si>
  <si>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</si>
  <si>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</si>
  <si>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</si>
  <si>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</si>
  <si>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</si>
  <si>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</si>
  <si>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</si>
  <si>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</si>
  <si>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</si>
  <si>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</si>
  <si>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</si>
  <si>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</si>
  <si>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</si>
  <si>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</si>
  <si>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</si>
  <si>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</si>
  <si>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</si>
  <si>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</si>
  <si>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</si>
  <si>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</si>
  <si>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</si>
  <si>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</si>
  <si>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</si>
  <si>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</si>
  <si>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</si>
  <si>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</si>
  <si>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</si>
  <si>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</si>
  <si>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</si>
  <si>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</si>
  <si>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</si>
  <si>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</si>
  <si>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</si>
  <si>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</si>
  <si>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</si>
  <si>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</si>
  <si>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</si>
  <si>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</si>
  <si>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</si>
  <si>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</si>
  <si>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</si>
  <si>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</si>
  <si>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</si>
  <si>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</si>
  <si>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</si>
  <si>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</si>
  <si>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</si>
  <si>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</si>
  <si>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</si>
  <si>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</si>
  <si>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</si>
  <si>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</si>
  <si>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</si>
  <si>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</si>
  <si>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</si>
  <si>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</si>
  <si>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</si>
  <si>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</si>
  <si>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</si>
  <si>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</si>
  <si>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</si>
  <si>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</si>
  <si>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</si>
  <si>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</si>
  <si>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</si>
  <si>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</si>
  <si>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</si>
  <si>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</si>
  <si>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</si>
  <si>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</si>
  <si>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</si>
  <si>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</si>
  <si>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</si>
  <si>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</si>
  <si>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</si>
  <si>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</si>
  <si>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</si>
  <si>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</si>
  <si>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</si>
  <si>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</si>
  <si>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</si>
  <si>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</si>
  <si>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</si>
  <si>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</si>
  <si>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</si>
  <si>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</si>
  <si>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</si>
  <si>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</si>
  <si>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</si>
  <si>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</si>
  <si>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</si>
  <si>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</si>
  <si>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</si>
  <si>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</si>
  <si>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</si>
  <si>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</si>
  <si>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</si>
  <si>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</si>
  <si>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</si>
  <si>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</si>
  <si>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</si>
  <si>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</si>
  <si>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</si>
  <si>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</si>
  <si>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</si>
  <si>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</si>
  <si>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</si>
  <si>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</si>
  <si>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</si>
  <si>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</si>
  <si>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</si>
  <si>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</si>
  <si>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</si>
  <si>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</si>
  <si>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</si>
  <si>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</si>
  <si>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</si>
  <si>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</si>
  <si>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</si>
  <si>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</si>
  <si>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</si>
  <si>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</si>
  <si>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</si>
  <si>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</si>
  <si>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</si>
  <si>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</si>
  <si>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</si>
  <si>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</si>
  <si>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</si>
  <si>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</si>
  <si>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</si>
  <si>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</si>
  <si>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</si>
  <si>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</si>
  <si>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</si>
  <si>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</si>
  <si>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</si>
  <si>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</si>
  <si>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</si>
  <si>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</si>
  <si>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</si>
  <si>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</si>
  <si>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</si>
  <si>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</si>
  <si>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</si>
  <si>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</si>
  <si>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</si>
  <si>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</si>
  <si>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</si>
  <si>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</si>
  <si>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</si>
  <si>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</si>
  <si>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</si>
  <si>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</si>
  <si>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</si>
  <si>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</si>
  <si>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</si>
  <si>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</si>
  <si>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</si>
  <si>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</si>
  <si>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</si>
  <si>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</si>
  <si>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</si>
  <si>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</si>
  <si>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</si>
  <si>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</si>
  <si>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</si>
  <si>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</si>
  <si>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</si>
  <si>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</si>
  <si>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</si>
  <si>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</si>
  <si>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</si>
  <si>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</si>
  <si>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</si>
  <si>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</si>
  <si>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</si>
  <si>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</si>
  <si>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</si>
  <si>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</si>
  <si>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</si>
  <si>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</si>
  <si>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</si>
  <si>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</si>
  <si>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</si>
  <si>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</si>
  <si>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</si>
  <si>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</si>
  <si>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</si>
  <si>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</si>
  <si>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</si>
  <si>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</si>
  <si>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</si>
  <si>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</si>
  <si>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</si>
  <si>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</si>
  <si>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</si>
  <si>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</si>
  <si>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</si>
  <si>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</si>
  <si>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</si>
  <si>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</si>
  <si>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</si>
  <si>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</si>
  <si>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</si>
  <si>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</si>
  <si>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</si>
  <si>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</si>
  <si>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</si>
  <si>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</si>
  <si>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</si>
  <si>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</si>
  <si>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</si>
  <si>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</si>
  <si>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</si>
  <si>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</si>
  <si>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</si>
  <si>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</si>
  <si>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</si>
  <si>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</si>
  <si>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</si>
  <si>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</si>
  <si>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</si>
  <si>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</si>
  <si>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</si>
  <si>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</si>
  <si>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</si>
  <si>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</si>
  <si>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</si>
  <si>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</si>
  <si>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</si>
  <si>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</si>
  <si>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</si>
  <si>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</si>
  <si>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</si>
  <si>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</si>
  <si>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</si>
  <si>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</si>
  <si>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</si>
  <si>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</si>
  <si>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</si>
  <si>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</si>
  <si>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</si>
  <si>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</si>
  <si>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</si>
  <si>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</si>
  <si>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</si>
  <si>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</si>
  <si>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</si>
  <si>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</si>
  <si>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</si>
  <si>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</si>
  <si>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</si>
  <si>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</si>
  <si>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</si>
  <si>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</si>
  <si>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</si>
  <si>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</si>
  <si>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</si>
  <si>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</si>
  <si>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</si>
  <si>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</si>
  <si>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</si>
  <si>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</si>
  <si>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</si>
  <si>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</si>
  <si>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</si>
  <si>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</si>
  <si>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</si>
  <si>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</si>
  <si>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</si>
  <si>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</si>
  <si>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</si>
  <si>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</si>
  <si>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</si>
  <si>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</si>
  <si>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</si>
  <si>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</si>
  <si>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</si>
  <si>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</si>
  <si>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</si>
  <si>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</si>
  <si>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</si>
  <si>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</si>
  <si>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</si>
  <si>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</si>
  <si>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</si>
  <si>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</si>
  <si>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</si>
  <si>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</si>
  <si>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</si>
  <si>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</si>
  <si>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</si>
  <si>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</si>
  <si>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</si>
  <si>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</si>
  <si>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</si>
  <si>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</si>
  <si>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</si>
  <si>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</si>
  <si>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</si>
  <si>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</si>
  <si>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</si>
  <si>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</si>
  <si>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</si>
  <si>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</si>
  <si>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</si>
  <si>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</si>
  <si>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</si>
  <si>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</si>
  <si>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</si>
  <si>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</si>
  <si>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</si>
  <si>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</si>
  <si>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</si>
  <si>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</si>
  <si>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</si>
  <si>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</si>
  <si>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</si>
  <si>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</si>
  <si>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</si>
  <si>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</si>
  <si>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</si>
  <si>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</si>
  <si>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</si>
  <si>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</si>
  <si>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</si>
  <si>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</si>
  <si>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</si>
  <si>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</si>
  <si>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</si>
  <si>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</si>
  <si>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</si>
  <si>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</si>
  <si>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</si>
  <si>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</si>
  <si>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</si>
  <si>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</si>
  <si>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</si>
  <si>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</si>
  <si>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</si>
  <si>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</si>
  <si>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</si>
  <si>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</si>
  <si>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</si>
  <si>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</si>
  <si>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</si>
  <si>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</si>
  <si>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</si>
  <si>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</si>
  <si>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</si>
  <si>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</si>
  <si>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</si>
  <si>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</si>
  <si>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</si>
  <si>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</si>
  <si>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</si>
  <si>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</si>
  <si>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</si>
  <si>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</si>
  <si>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</si>
  <si>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</si>
  <si>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</si>
  <si>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</si>
  <si>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</si>
  <si>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</si>
  <si>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</si>
  <si>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</si>
  <si>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</si>
  <si>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</si>
  <si>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</si>
  <si>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</si>
  <si>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</si>
  <si>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</si>
  <si>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</si>
  <si>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</si>
  <si>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</si>
  <si>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</si>
  <si>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</si>
  <si>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</si>
  <si>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</si>
  <si>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</si>
  <si>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</si>
  <si>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</si>
  <si>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</si>
  <si>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</si>
  <si>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</si>
  <si>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</si>
  <si>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</si>
  <si>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</si>
  <si>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</si>
  <si>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</si>
  <si>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</si>
  <si>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</si>
  <si>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</si>
  <si>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</si>
  <si>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</si>
  <si>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</si>
  <si>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</si>
  <si>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</si>
  <si>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</si>
  <si>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</si>
  <si>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</si>
  <si>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</si>
  <si>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</si>
  <si>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</si>
  <si>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</si>
  <si>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</si>
  <si>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</si>
  <si>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</si>
  <si>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</si>
  <si>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</si>
  <si>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</si>
  <si>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</si>
  <si>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</si>
  <si>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</si>
  <si>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</si>
  <si>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</si>
  <si>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</si>
  <si>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</si>
  <si>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</si>
  <si>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</si>
  <si>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</si>
  <si>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</si>
  <si>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</si>
  <si>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</si>
  <si>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</si>
  <si>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</si>
  <si>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</si>
  <si>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</si>
  <si>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</si>
  <si>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</si>
  <si>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</si>
  <si>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</si>
  <si>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</si>
  <si>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</si>
  <si>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</si>
  <si>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</si>
  <si>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</si>
  <si>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</si>
  <si>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</si>
  <si>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</si>
  <si>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</si>
  <si>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</si>
  <si>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</si>
  <si>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</si>
  <si>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</si>
  <si>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</si>
  <si>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</si>
  <si>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</si>
  <si>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</si>
  <si>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</si>
  <si>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</si>
  <si>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</si>
  <si>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</si>
  <si>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</si>
  <si>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</si>
  <si>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</si>
  <si>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</si>
  <si>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</si>
  <si>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</si>
  <si>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</si>
  <si>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</si>
  <si>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</si>
  <si>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</si>
  <si>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</si>
  <si>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</si>
  <si>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</si>
  <si>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</si>
  <si>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</si>
  <si>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</si>
  <si>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</si>
  <si>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</si>
  <si>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</si>
  <si>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</si>
  <si>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</si>
  <si>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</si>
  <si>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</si>
  <si>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</si>
  <si>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</si>
  <si>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</si>
  <si>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</si>
  <si>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</si>
  <si>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</si>
  <si>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</si>
  <si>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</si>
  <si>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</si>
  <si>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</si>
  <si>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</si>
  <si>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</si>
  <si>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</si>
  <si>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</si>
  <si>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</si>
  <si>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</si>
  <si>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</si>
  <si>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</si>
  <si>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</si>
  <si>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</si>
  <si>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</si>
  <si>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</si>
  <si>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</si>
  <si>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</si>
  <si>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</si>
  <si>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</si>
  <si>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</si>
  <si>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</si>
  <si>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</si>
  <si>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</si>
  <si>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</si>
  <si>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</si>
  <si>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</si>
  <si>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</si>
  <si>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</si>
  <si>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</si>
  <si>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</si>
  <si>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</si>
  <si>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</si>
  <si>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</si>
  <si>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</si>
  <si>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</si>
  <si>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</si>
  <si>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</si>
  <si>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</si>
  <si>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</si>
  <si>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</si>
  <si>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</si>
  <si>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</si>
  <si>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</si>
  <si>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</si>
  <si>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</si>
  <si>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</si>
  <si>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</si>
  <si>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</si>
  <si>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</si>
  <si>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</si>
  <si>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</si>
  <si>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</si>
  <si>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</si>
  <si>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</si>
  <si>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</si>
  <si>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</si>
  <si>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</si>
  <si>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</si>
  <si>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</si>
  <si>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</si>
  <si>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</si>
  <si>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</si>
  <si>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</si>
  <si>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</si>
  <si>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</si>
  <si>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</si>
  <si>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</si>
  <si>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</si>
  <si>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</si>
  <si>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</si>
  <si>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</si>
  <si>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</si>
  <si>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</si>
  <si>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</si>
  <si>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</si>
  <si>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</si>
  <si>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</si>
  <si>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</si>
  <si>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</si>
  <si>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</si>
  <si>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</si>
  <si>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</si>
  <si>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</si>
  <si>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</si>
  <si>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</si>
  <si>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</si>
  <si>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</si>
  <si>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</si>
  <si>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</si>
  <si>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</si>
  <si>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</si>
  <si>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</si>
  <si>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</si>
  <si>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</si>
  <si>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</si>
  <si>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</si>
  <si>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</si>
  <si>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</si>
  <si>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</si>
  <si>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</si>
  <si>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</si>
  <si>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</si>
  <si>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</si>
  <si>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</si>
  <si>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</si>
  <si>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</si>
  <si>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</si>
  <si>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</si>
  <si>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</si>
  <si>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</si>
  <si>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</si>
  <si>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</si>
  <si>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</si>
  <si>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</si>
  <si>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</si>
  <si>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</si>
  <si>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</si>
  <si>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</si>
  <si>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</si>
  <si>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</si>
  <si>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</si>
  <si>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</si>
  <si>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</si>
  <si>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</si>
  <si>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</si>
  <si>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</si>
  <si>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</si>
  <si>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</si>
  <si>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</si>
  <si>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</si>
  <si>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</si>
  <si>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</si>
  <si>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</si>
  <si>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</si>
  <si>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</si>
  <si>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</si>
  <si>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</si>
  <si>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</si>
  <si>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</si>
  <si>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</si>
  <si>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</si>
  <si>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</si>
  <si>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</si>
  <si>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</si>
  <si>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</si>
  <si>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</si>
  <si>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</si>
  <si>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</si>
  <si>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</si>
  <si>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</si>
  <si>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</si>
  <si>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</si>
  <si>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</si>
  <si>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</si>
  <si>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</si>
  <si>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</si>
  <si>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</si>
  <si>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</si>
  <si>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</si>
  <si>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</si>
  <si>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</si>
  <si>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</si>
  <si>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</si>
  <si>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</si>
  <si>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</si>
  <si>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</si>
  <si>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</si>
  <si>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</si>
  <si>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</si>
  <si>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</si>
  <si>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</si>
  <si>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</si>
  <si>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</si>
  <si>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</si>
  <si>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</si>
  <si>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</si>
  <si>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</si>
  <si>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</si>
  <si>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</si>
  <si>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</si>
  <si>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</si>
  <si>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</si>
  <si>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</si>
  <si>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</si>
  <si>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</si>
  <si>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</si>
  <si>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</si>
  <si>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</si>
  <si>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</si>
  <si>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</si>
  <si>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</si>
  <si>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</si>
  <si>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</si>
  <si>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</si>
  <si>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</si>
  <si>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</si>
  <si>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</si>
  <si>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</si>
  <si>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</si>
  <si>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</si>
  <si>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</si>
  <si>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</si>
  <si>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</si>
  <si>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</si>
  <si>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</si>
  <si>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</si>
  <si>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</si>
  <si>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</si>
  <si>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</si>
  <si>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</si>
  <si>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</si>
  <si>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</si>
  <si>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</si>
  <si>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</si>
  <si>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</si>
  <si>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</si>
  <si>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</si>
  <si>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</si>
  <si>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</si>
  <si>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</si>
  <si>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</si>
  <si>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</si>
  <si>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</si>
  <si>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</si>
  <si>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</si>
  <si>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</si>
  <si>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</si>
  <si>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</si>
  <si>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</si>
  <si>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</si>
  <si>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</si>
  <si>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</si>
  <si>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</si>
  <si>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</si>
  <si>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</si>
  <si>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</si>
  <si>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</si>
  <si>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</si>
  <si>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</si>
  <si>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</si>
  <si>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</si>
  <si>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</si>
  <si>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</si>
  <si>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</si>
  <si>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</si>
  <si>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</si>
  <si>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</si>
  <si>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</si>
  <si>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</si>
  <si>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</si>
  <si>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</si>
  <si>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</si>
  <si>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</si>
  <si>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</si>
  <si>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</si>
  <si>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</si>
  <si>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</si>
  <si>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</si>
  <si>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</si>
  <si>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</si>
  <si>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</si>
  <si>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</si>
  <si>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</si>
  <si>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</si>
  <si>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</si>
  <si>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</si>
  <si>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</si>
  <si>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</si>
  <si>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</si>
  <si>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</si>
  <si>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</si>
  <si>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</si>
  <si>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</si>
  <si>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</si>
  <si>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</si>
  <si>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</si>
  <si>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</si>
  <si>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</si>
  <si>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</si>
  <si>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</si>
  <si>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</si>
  <si>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</si>
  <si>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</si>
  <si>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</si>
  <si>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</si>
  <si>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</si>
  <si>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</si>
  <si>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</si>
  <si>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</si>
  <si>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</si>
  <si>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</si>
  <si>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</si>
  <si>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</si>
  <si>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</si>
  <si>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</si>
  <si>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</si>
  <si>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</si>
  <si>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</si>
  <si>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</si>
  <si>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</si>
  <si>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</si>
  <si>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</si>
  <si>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</si>
  <si>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</si>
  <si>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</si>
  <si>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</si>
  <si>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</si>
  <si>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</si>
  <si>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</si>
  <si>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</si>
  <si>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</si>
  <si>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</si>
  <si>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</si>
  <si>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</si>
  <si>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</si>
  <si>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</si>
  <si>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</si>
  <si>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</si>
  <si>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</si>
  <si>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</si>
  <si>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</si>
  <si>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</si>
  <si>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</si>
  <si>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</si>
  <si>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</si>
  <si>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</si>
  <si>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</si>
  <si>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</si>
  <si>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</si>
  <si>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</si>
  <si>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</si>
  <si>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</si>
  <si>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</si>
  <si>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</si>
  <si>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</si>
  <si>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</si>
  <si>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</si>
  <si>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</si>
  <si>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</si>
  <si>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</si>
  <si>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</si>
  <si>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</si>
  <si>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</si>
  <si>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</si>
  <si>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</si>
  <si>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</si>
  <si>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</si>
  <si>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</si>
  <si>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</si>
  <si>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</si>
  <si>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</si>
  <si>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</si>
  <si>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</si>
  <si>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</si>
  <si>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</si>
  <si>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</si>
  <si>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</si>
  <si>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</si>
  <si>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</si>
  <si>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</si>
  <si>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</si>
  <si>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</si>
  <si>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</si>
  <si>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</si>
  <si>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</si>
  <si>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</si>
  <si>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</si>
  <si>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</si>
  <si>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</si>
  <si>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</si>
  <si>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</si>
  <si>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</si>
  <si>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</si>
  <si>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</si>
  <si>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</si>
  <si>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</si>
  <si>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</si>
  <si>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</si>
  <si>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</si>
  <si>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</si>
  <si>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</si>
  <si>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</si>
  <si>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</si>
  <si>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</si>
  <si>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</si>
  <si>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</si>
  <si>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</si>
  <si>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</si>
  <si>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</si>
  <si>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</si>
  <si>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</si>
  <si>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</si>
  <si>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</si>
  <si>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</si>
  <si>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</si>
  <si>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</si>
  <si>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</si>
  <si>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</si>
  <si>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</si>
  <si>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</si>
  <si>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</si>
  <si>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</si>
  <si>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</si>
  <si>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</si>
  <si>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</si>
  <si>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</si>
  <si>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</si>
  <si>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</si>
  <si>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</si>
  <si>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</si>
  <si>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</si>
  <si>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</si>
  <si>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</si>
  <si>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</si>
  <si>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</si>
  <si>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</si>
  <si>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</si>
  <si>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</si>
  <si>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</si>
  <si>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</si>
  <si>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</si>
  <si>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</si>
  <si>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</si>
  <si>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</si>
  <si>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</si>
  <si>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</si>
  <si>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</si>
  <si>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</si>
  <si>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</si>
  <si>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</si>
  <si>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</si>
  <si>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</si>
  <si>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</si>
  <si>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</si>
  <si>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</si>
  <si>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</si>
  <si>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</si>
  <si>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</si>
  <si>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</si>
  <si>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</si>
  <si>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</si>
  <si>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</si>
  <si>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</si>
  <si>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</si>
  <si>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</si>
  <si>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</si>
  <si>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</si>
  <si>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</si>
  <si>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</si>
  <si>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</si>
  <si>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</si>
  <si>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</si>
  <si>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</si>
  <si>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</si>
  <si>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</si>
  <si>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</si>
  <si>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</si>
  <si>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</si>
  <si>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</si>
  <si>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</si>
  <si>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</si>
  <si>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</si>
  <si>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</si>
  <si>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</si>
  <si>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</si>
  <si>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</si>
  <si>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</si>
  <si>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</si>
  <si>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</si>
  <si>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</si>
  <si>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</si>
  <si>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</si>
  <si>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</si>
  <si>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</si>
  <si>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</si>
  <si>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</si>
  <si>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</si>
  <si>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</si>
  <si>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</si>
  <si>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</si>
  <si>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</si>
  <si>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</si>
  <si>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</si>
  <si>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</si>
  <si>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</si>
  <si>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</si>
  <si>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</si>
  <si>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</si>
  <si>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</si>
  <si>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</si>
  <si>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</si>
  <si>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</si>
  <si>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</si>
  <si>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</si>
  <si>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</si>
  <si>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</si>
  <si>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</si>
  <si>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</si>
  <si>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</si>
  <si>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</si>
  <si>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</si>
  <si>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</si>
  <si>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</si>
  <si>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</si>
  <si>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</si>
  <si>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</si>
  <si>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</si>
  <si>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</si>
  <si>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</si>
  <si>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</si>
  <si>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</si>
  <si>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</si>
  <si>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</si>
  <si>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</si>
  <si>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</si>
  <si>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</si>
  <si>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</si>
  <si>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</si>
  <si>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</si>
  <si>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</si>
  <si>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</si>
  <si>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</si>
  <si>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</si>
  <si>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</si>
  <si>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</si>
  <si>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</si>
  <si>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</si>
  <si>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</si>
  <si>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</si>
  <si>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</si>
  <si>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</si>
  <si>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</si>
  <si>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</si>
  <si>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</si>
  <si>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</si>
  <si>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</si>
  <si>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</si>
  <si>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</si>
  <si>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</si>
  <si>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</si>
  <si>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</si>
  <si>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</si>
  <si>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</si>
  <si>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</si>
  <si>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</si>
  <si>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</si>
  <si>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</si>
  <si>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</si>
  <si>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</si>
  <si>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</si>
  <si>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</si>
  <si>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</si>
  <si>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</si>
  <si>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</si>
  <si>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</si>
  <si>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</si>
  <si>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</si>
  <si>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</si>
  <si>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</si>
  <si>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</si>
  <si>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</si>
  <si>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</si>
  <si>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</si>
  <si>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</si>
  <si>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</si>
  <si>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</si>
  <si>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</si>
  <si>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</si>
  <si>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</si>
  <si>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</si>
  <si>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</si>
  <si>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</si>
  <si>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</si>
  <si>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</si>
  <si>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</si>
  <si>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</si>
  <si>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</si>
  <si>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</si>
  <si>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</si>
  <si>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</si>
  <si>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</si>
  <si>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</si>
  <si>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</si>
  <si>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</si>
  <si>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</si>
  <si>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</si>
  <si>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</si>
  <si>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</si>
  <si>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</si>
  <si>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</si>
  <si>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</si>
  <si>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</si>
  <si>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</si>
  <si>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</si>
  <si>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</si>
  <si>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</si>
  <si>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</si>
  <si>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</si>
  <si>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</si>
  <si>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</si>
  <si>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</si>
  <si>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</si>
  <si>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</si>
  <si>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</si>
  <si>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</si>
  <si>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</si>
  <si>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</si>
  <si>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</si>
  <si>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</si>
  <si>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</si>
  <si>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</si>
  <si>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</si>
  <si>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</si>
  <si>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</si>
  <si>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</si>
  <si>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</si>
  <si>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</si>
  <si>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</si>
  <si>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</si>
  <si>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</si>
  <si>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</si>
  <si>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</si>
  <si>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</si>
  <si>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</si>
  <si>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</si>
  <si>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</si>
  <si>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</si>
  <si>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</si>
  <si>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</si>
  <si>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</si>
  <si>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</si>
  <si>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</si>
  <si>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</si>
  <si>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</si>
  <si>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</si>
  <si>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</si>
  <si>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</si>
  <si>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</si>
  <si>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</si>
  <si>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</si>
  <si>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</si>
  <si>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</si>
  <si>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</si>
  <si>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</si>
  <si>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</si>
  <si>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</si>
  <si>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</si>
  <si>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</si>
  <si>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</si>
  <si>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</si>
  <si>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</si>
  <si>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</si>
  <si>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</si>
  <si>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</si>
  <si>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</si>
  <si>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</si>
  <si>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</si>
  <si>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</si>
  <si>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</si>
  <si>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</si>
  <si>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</si>
  <si>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</si>
  <si>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</si>
  <si>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</si>
  <si>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</si>
  <si>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</si>
  <si>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</si>
  <si>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</si>
  <si>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</si>
  <si>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</si>
  <si>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</si>
  <si>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</si>
  <si>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</si>
  <si>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</si>
  <si>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</si>
  <si>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</si>
  <si>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</si>
  <si>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</si>
  <si>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</si>
  <si>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</si>
  <si>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</si>
  <si>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</si>
  <si>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</si>
  <si>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</si>
  <si>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</si>
  <si>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</si>
  <si>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</si>
  <si>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</si>
  <si>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</si>
  <si>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</si>
  <si>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</si>
  <si>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</si>
  <si>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</si>
  <si>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</si>
  <si>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</si>
  <si>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</si>
  <si>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</si>
  <si>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</si>
  <si>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</si>
  <si>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</si>
  <si>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</si>
  <si>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</si>
  <si>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</si>
  <si>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</si>
  <si>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</si>
  <si>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</si>
  <si>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</si>
  <si>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</si>
  <si>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</si>
  <si>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</si>
  <si>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</si>
  <si>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</si>
  <si>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</si>
  <si>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</si>
  <si>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</si>
  <si>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</si>
  <si>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</si>
  <si>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</si>
  <si>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</si>
  <si>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</si>
  <si>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</si>
  <si>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</si>
  <si>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</si>
  <si>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</si>
  <si>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</si>
  <si>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</si>
  <si>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</si>
  <si>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</si>
  <si>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</si>
  <si>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</si>
  <si>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</si>
  <si>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</si>
  <si>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</si>
  <si>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</si>
  <si>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</si>
  <si>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</si>
  <si>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</si>
  <si>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</si>
  <si>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</si>
  <si>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</si>
  <si>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</si>
  <si>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</si>
  <si>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</si>
  <si>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</si>
  <si>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</si>
  <si>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</si>
  <si>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</si>
  <si>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</si>
  <si>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</si>
  <si>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</si>
  <si>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</si>
  <si>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</si>
  <si>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</si>
  <si>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</si>
  <si>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</si>
  <si>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</si>
  <si>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</si>
  <si>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</si>
  <si>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</si>
  <si>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</si>
  <si>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</si>
  <si>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</si>
  <si>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</si>
  <si>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</si>
  <si>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</si>
  <si>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</si>
  <si>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</si>
  <si>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</si>
  <si>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</si>
  <si>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</si>
  <si>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</si>
  <si>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</si>
  <si>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</si>
  <si>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</si>
  <si>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</si>
  <si>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</si>
  <si>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</si>
  <si>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</si>
  <si>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</si>
  <si>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</si>
  <si>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</si>
  <si>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</si>
  <si>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</si>
  <si>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</si>
  <si>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</si>
  <si>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</si>
  <si>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</si>
  <si>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</si>
  <si>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</si>
  <si>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</si>
  <si>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</si>
  <si>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</si>
  <si>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</si>
  <si>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</si>
  <si>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</si>
  <si>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</si>
  <si>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</si>
  <si>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</si>
  <si>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</si>
  <si>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</si>
  <si>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</si>
  <si>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</si>
  <si>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</si>
  <si>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</si>
  <si>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</si>
  <si>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</si>
  <si>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</si>
  <si>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</si>
  <si>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</si>
  <si>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</si>
  <si>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</si>
  <si>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</si>
  <si>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</si>
  <si>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</si>
  <si>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</si>
  <si>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</si>
  <si>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</si>
  <si>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</si>
  <si>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</si>
  <si>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</si>
  <si>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</si>
  <si>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</si>
  <si>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</si>
  <si>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</si>
  <si>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</si>
  <si>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</si>
  <si>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</si>
  <si>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</si>
  <si>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</si>
  <si>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</si>
  <si>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</si>
  <si>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</si>
  <si>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</si>
  <si>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</si>
  <si>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</si>
  <si>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</si>
  <si>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</si>
  <si>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</si>
  <si>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</si>
  <si>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</si>
  <si>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</si>
  <si>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</si>
  <si>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</si>
  <si>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</si>
  <si>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</si>
  <si>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</si>
  <si>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</si>
  <si>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</si>
  <si>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</si>
  <si>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</si>
  <si>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</si>
  <si>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</si>
  <si>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</si>
  <si>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</si>
  <si>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</si>
  <si>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</si>
  <si>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</si>
  <si>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</si>
  <si>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</si>
  <si>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</si>
  <si>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</si>
  <si>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</si>
  <si>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</si>
  <si>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</si>
  <si>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</si>
  <si>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</si>
  <si>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</si>
  <si>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</si>
  <si>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</si>
  <si>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</si>
  <si>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</si>
  <si>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</si>
  <si>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</si>
  <si>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</si>
  <si>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</si>
  <si>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</si>
  <si>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</si>
  <si>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</si>
  <si>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</si>
  <si>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</si>
  <si>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</si>
  <si>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</si>
  <si>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</si>
  <si>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</si>
  <si>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</si>
  <si>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</si>
  <si>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</si>
  <si>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</si>
  <si>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</si>
  <si>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</si>
  <si>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</si>
  <si>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</si>
  <si>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</si>
  <si>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</si>
  <si>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</si>
  <si>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</si>
  <si>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</si>
  <si>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</si>
  <si>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</si>
  <si>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</si>
  <si>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</si>
  <si>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</si>
  <si>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</si>
  <si>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</si>
  <si>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</si>
  <si>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</si>
  <si>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</si>
  <si>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</si>
  <si>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</si>
  <si>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</si>
  <si>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</si>
  <si>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</si>
  <si>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</si>
  <si>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</si>
  <si>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</si>
  <si>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</si>
  <si>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</si>
  <si>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</si>
  <si>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</si>
  <si>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</si>
  <si>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</si>
  <si>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</si>
  <si>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</si>
  <si>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</si>
  <si>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</si>
  <si>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</si>
  <si>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</si>
  <si>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</si>
  <si>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</si>
  <si>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</si>
  <si>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</si>
  <si>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</si>
  <si>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</si>
  <si>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</si>
  <si>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</si>
  <si>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</si>
  <si>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</si>
  <si>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</si>
  <si>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</si>
  <si>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</si>
  <si>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</si>
  <si>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</si>
  <si>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</si>
  <si>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</si>
  <si>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</si>
  <si>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</si>
  <si>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</si>
  <si>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</si>
  <si>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</si>
  <si>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</si>
  <si>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</si>
  <si>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</si>
  <si>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</si>
  <si>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</si>
  <si>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</si>
  <si>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</si>
  <si>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</si>
  <si>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</si>
  <si>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</si>
  <si>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</si>
  <si>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</si>
  <si>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</si>
  <si>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</si>
  <si>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</si>
  <si>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</si>
  <si>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</si>
  <si>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</si>
  <si>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</si>
  <si>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</si>
  <si>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</si>
  <si>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</si>
  <si>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</si>
  <si>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</si>
  <si>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</si>
  <si>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</si>
  <si>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</si>
  <si>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</si>
  <si>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</si>
  <si>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</si>
  <si>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</si>
  <si>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</si>
  <si>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</si>
  <si>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</si>
  <si>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</si>
  <si>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</si>
  <si>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</si>
  <si>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</si>
  <si>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</si>
  <si>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</si>
  <si>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</si>
  <si>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</si>
  <si>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</si>
  <si>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</si>
  <si>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</si>
  <si>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</si>
  <si>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</si>
  <si>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</si>
  <si>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</si>
  <si>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</si>
  <si>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</si>
  <si>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</si>
  <si>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</si>
  <si>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</si>
  <si>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</si>
  <si>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</si>
  <si>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</si>
  <si>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</si>
  <si>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</si>
  <si>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</si>
  <si>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</si>
  <si>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</si>
  <si>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</si>
  <si>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</si>
  <si>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</si>
  <si>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</si>
  <si>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</si>
  <si>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</si>
  <si>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</si>
  <si>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</si>
  <si>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</si>
  <si>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</si>
  <si>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</si>
  <si>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</si>
  <si>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</si>
  <si>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</si>
  <si>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</si>
  <si>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</si>
  <si>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</si>
  <si>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</si>
  <si>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</si>
  <si>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</si>
  <si>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</si>
  <si>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</si>
  <si>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</si>
  <si>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</si>
  <si>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</si>
  <si>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</si>
  <si>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</si>
  <si>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</si>
  <si>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</si>
  <si>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</si>
  <si>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</si>
  <si>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</si>
  <si>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</si>
  <si>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</si>
  <si>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</si>
  <si>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</si>
  <si>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</si>
  <si>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</si>
  <si>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</si>
  <si>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</si>
  <si>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</si>
  <si>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</si>
  <si>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</si>
  <si>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</si>
  <si>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</si>
  <si>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</si>
  <si>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</si>
  <si>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</si>
  <si>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</si>
  <si>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</si>
  <si>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</si>
  <si>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</si>
  <si>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</si>
  <si>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</si>
  <si>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</si>
  <si>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</si>
  <si>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</si>
  <si>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</si>
  <si>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</si>
  <si>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</si>
  <si>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</si>
  <si>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</si>
  <si>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</si>
  <si>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</si>
  <si>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</si>
  <si>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</si>
  <si>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</si>
  <si>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</si>
  <si>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</si>
  <si>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</si>
  <si>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</si>
  <si>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</si>
  <si>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</si>
  <si>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</si>
  <si>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</si>
  <si>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</si>
  <si>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</si>
  <si>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</si>
  <si>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</si>
  <si>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</si>
  <si>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</si>
  <si>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</si>
  <si>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</si>
  <si>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</si>
  <si>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</si>
  <si>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</si>
  <si>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</si>
  <si>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</si>
  <si>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</si>
  <si>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</si>
  <si>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</si>
  <si>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</si>
  <si>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</si>
  <si>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</si>
  <si>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</si>
  <si>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</si>
  <si>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</si>
  <si>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</si>
  <si>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</si>
  <si>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</si>
  <si>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</si>
  <si>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</si>
  <si>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</si>
  <si>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</si>
  <si>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</si>
  <si>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</si>
  <si>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</si>
  <si>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</si>
  <si>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</si>
  <si>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</si>
  <si>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</si>
  <si>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</si>
  <si>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</si>
  <si>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</si>
  <si>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</si>
  <si>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</si>
  <si>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</si>
  <si>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</si>
  <si>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</si>
  <si>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</si>
  <si>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</si>
  <si>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</si>
  <si>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</si>
  <si>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</si>
  <si>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</si>
  <si>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</si>
  <si>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</si>
  <si>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</si>
  <si>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</si>
  <si>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</si>
  <si>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</si>
  <si>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</si>
  <si>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</si>
  <si>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</si>
  <si>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</si>
  <si>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</si>
  <si>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</si>
  <si>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</si>
  <si>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</si>
  <si>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</si>
  <si>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</si>
  <si>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</si>
  <si>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</si>
  <si>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</si>
  <si>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</si>
  <si>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</si>
  <si>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</si>
  <si>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</si>
  <si>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</si>
  <si>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</si>
  <si>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</si>
  <si>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</si>
  <si>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</si>
  <si>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</si>
  <si>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</si>
  <si>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</si>
  <si>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</si>
  <si>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</si>
  <si>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</si>
  <si>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</si>
  <si>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</si>
  <si>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</si>
  <si>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</si>
  <si>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</si>
  <si>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</si>
  <si>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</si>
  <si>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</si>
  <si>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</si>
  <si>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</si>
  <si>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</si>
  <si>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</si>
  <si>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</si>
  <si>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</si>
  <si>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</si>
  <si>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</si>
  <si>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</si>
  <si>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</si>
  <si>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</si>
  <si>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</si>
  <si>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</si>
  <si>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</si>
  <si>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</si>
  <si>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</si>
  <si>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</si>
  <si>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</si>
  <si>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</si>
  <si>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</si>
  <si>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</si>
  <si>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</si>
  <si>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</si>
  <si>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</si>
  <si>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</si>
  <si>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</si>
  <si>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</si>
  <si>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</si>
  <si>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</si>
  <si>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</si>
  <si>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</si>
  <si>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</si>
  <si>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</si>
  <si>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</si>
  <si>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</si>
  <si>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</si>
  <si>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</si>
  <si>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</si>
  <si>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</si>
  <si>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</si>
  <si>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</si>
  <si>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</si>
  <si>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</si>
  <si>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</si>
  <si>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</si>
  <si>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</si>
  <si>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</si>
  <si>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</si>
  <si>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</si>
  <si>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</si>
  <si>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</si>
  <si>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</si>
  <si>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</si>
  <si>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</si>
  <si>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</si>
  <si>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</si>
  <si>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</si>
  <si>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</si>
  <si>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</si>
  <si>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</si>
  <si>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</si>
  <si>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</si>
  <si>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</si>
  <si>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</si>
  <si>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</si>
  <si>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</si>
  <si>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</si>
  <si>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</si>
  <si>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</si>
  <si>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</si>
  <si>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</si>
  <si>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</si>
  <si>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</si>
  <si>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</si>
  <si>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</si>
  <si>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</si>
  <si>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</si>
  <si>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</si>
  <si>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</si>
  <si>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</si>
  <si>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</si>
  <si>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</si>
  <si>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</si>
  <si>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</si>
  <si>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</si>
  <si>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</si>
  <si>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</si>
  <si>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</si>
  <si>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</si>
  <si>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</si>
  <si>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</si>
  <si>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</si>
  <si>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</si>
  <si>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</si>
  <si>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</si>
  <si>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</si>
  <si>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</si>
  <si>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</si>
  <si>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</si>
  <si>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</si>
  <si>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</si>
  <si>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</si>
  <si>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</si>
  <si>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</si>
  <si>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</si>
  <si>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</si>
  <si>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</si>
  <si>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</si>
  <si>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</si>
  <si>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</si>
  <si>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</si>
  <si>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</si>
  <si>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</si>
  <si>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</si>
  <si>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</si>
  <si>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</si>
  <si>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</si>
  <si>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</si>
  <si>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</si>
  <si>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</si>
  <si>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</si>
  <si>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</si>
  <si>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</si>
  <si>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</si>
  <si>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</si>
  <si>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</si>
  <si>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</si>
  <si>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</si>
  <si>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</si>
  <si>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</si>
  <si>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</si>
  <si>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</si>
  <si>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</si>
  <si>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</si>
  <si>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</si>
  <si>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</si>
  <si>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</si>
  <si>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</si>
  <si>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</si>
  <si>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</si>
  <si>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</si>
  <si>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</si>
  <si>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</si>
  <si>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</si>
  <si>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</si>
  <si>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</si>
  <si>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</si>
  <si>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</si>
  <si>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</si>
  <si>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</si>
  <si>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</si>
  <si>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</si>
  <si>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</si>
  <si>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</si>
  <si>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</si>
  <si>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</si>
  <si>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</si>
  <si>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</si>
  <si>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</si>
  <si>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</si>
  <si>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</si>
  <si>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</si>
  <si>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</si>
  <si>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</si>
  <si>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</si>
  <si>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</si>
  <si>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</si>
  <si>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</si>
  <si>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</si>
  <si>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</si>
  <si>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</si>
  <si>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</si>
  <si>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</si>
  <si>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</si>
  <si>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</si>
  <si>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</si>
  <si>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</si>
  <si>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</si>
  <si>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</si>
  <si>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</si>
  <si>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</si>
  <si>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</si>
  <si>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</si>
  <si>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</si>
  <si>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</si>
  <si>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</si>
  <si>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</si>
  <si>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</si>
  <si>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</si>
  <si>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</si>
  <si>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</si>
  <si>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</si>
  <si>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</si>
  <si>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</si>
  <si>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</si>
  <si>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</si>
  <si>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</si>
  <si>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</si>
  <si>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</si>
  <si>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</si>
  <si>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</si>
  <si>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</si>
  <si>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</si>
  <si>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</si>
  <si>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</si>
  <si>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</si>
  <si>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</si>
  <si>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</si>
  <si>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</si>
  <si>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</si>
  <si>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</si>
  <si>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</si>
  <si>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</si>
  <si>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</si>
  <si>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</si>
  <si>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</si>
  <si>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</si>
  <si>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</si>
  <si>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</si>
  <si>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</si>
  <si>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</si>
  <si>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</si>
  <si>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</si>
  <si>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</si>
  <si>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</si>
  <si>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</si>
  <si>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</si>
  <si>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</si>
  <si>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</si>
  <si>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</si>
  <si>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</si>
  <si>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</si>
  <si>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</si>
  <si>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</si>
  <si>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</si>
  <si>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</si>
  <si>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</si>
  <si>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</si>
  <si>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</si>
  <si>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</si>
  <si>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</si>
  <si>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</si>
  <si>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</si>
  <si>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</si>
  <si>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</si>
  <si>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</si>
  <si>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</si>
  <si>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</si>
  <si>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</si>
  <si>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</si>
  <si>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</si>
  <si>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</si>
  <si>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</si>
  <si>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</si>
  <si>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</si>
  <si>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</si>
  <si>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</si>
  <si>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</si>
  <si>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</si>
  <si>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</si>
  <si>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</si>
  <si>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</si>
  <si>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</si>
  <si>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</si>
  <si>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</si>
  <si>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</si>
  <si>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</si>
  <si>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</si>
  <si>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</si>
  <si>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</si>
  <si>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</si>
  <si>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</si>
  <si>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</si>
  <si>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</si>
  <si>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</si>
  <si>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</si>
  <si>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</si>
  <si>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</si>
  <si>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</si>
  <si>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</si>
  <si>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</si>
  <si>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</si>
  <si>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</si>
  <si>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</si>
  <si>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</si>
  <si>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</si>
  <si>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</si>
  <si>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</si>
  <si>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</si>
  <si>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</si>
  <si>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</si>
  <si>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</si>
  <si>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</si>
  <si>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</si>
  <si>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</si>
  <si>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</si>
  <si>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</si>
  <si>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</si>
  <si>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</si>
  <si>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</si>
  <si>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</si>
  <si>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</si>
  <si>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</si>
  <si>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</si>
  <si>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</si>
  <si>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</si>
  <si>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</si>
  <si>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</si>
  <si>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</si>
  <si>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</si>
  <si>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</si>
  <si>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</si>
  <si>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</si>
  <si>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</si>
  <si>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</si>
  <si>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</si>
  <si>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</si>
  <si>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</si>
  <si>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</si>
  <si>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</si>
  <si>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</si>
  <si>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</si>
  <si>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</si>
  <si>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</si>
  <si>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</si>
  <si>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</si>
  <si>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</si>
  <si>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</si>
  <si>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</si>
  <si>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</si>
  <si>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</si>
  <si>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</si>
  <si>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</si>
  <si>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</si>
  <si>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</si>
  <si>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</si>
  <si>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</si>
  <si>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</si>
  <si>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</si>
  <si>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</si>
  <si>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</si>
  <si>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</si>
  <si>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</si>
  <si>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</si>
  <si>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</si>
  <si>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</si>
  <si>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</si>
  <si>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</si>
  <si>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</si>
  <si>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</si>
  <si>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</si>
  <si>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</si>
  <si>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</si>
  <si>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</si>
  <si>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</si>
  <si>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</si>
  <si>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</si>
  <si>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</si>
  <si>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</si>
  <si>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</si>
  <si>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</si>
  <si>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</si>
  <si>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</si>
  <si>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</si>
  <si>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</si>
  <si>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</si>
  <si>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</si>
  <si>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</si>
  <si>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</si>
  <si>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</si>
  <si>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</si>
  <si>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</si>
  <si>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</si>
  <si>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</si>
  <si>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</si>
  <si>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</si>
  <si>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</si>
  <si>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</si>
  <si>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</si>
  <si>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</si>
  <si>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</si>
  <si>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</si>
  <si>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</si>
  <si>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</si>
  <si>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</si>
  <si>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</si>
  <si>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</si>
  <si>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</si>
  <si>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</si>
  <si>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</si>
  <si>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</si>
  <si>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</si>
  <si>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</si>
  <si>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</si>
  <si>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</si>
  <si>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</si>
  <si>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</si>
  <si>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</si>
  <si>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</si>
  <si>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</si>
  <si>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</si>
  <si>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</si>
  <si>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</si>
  <si>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</si>
  <si>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</si>
  <si>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</si>
  <si>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</si>
  <si>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</si>
  <si>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</si>
  <si>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</si>
  <si>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</si>
  <si>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</si>
  <si>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</si>
  <si>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</si>
  <si>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</si>
  <si>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</si>
  <si>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</si>
  <si>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</si>
  <si>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</si>
  <si>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</si>
  <si>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</si>
  <si>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</si>
  <si>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</si>
  <si>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</si>
  <si>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</si>
  <si>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</si>
  <si>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</si>
  <si>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</si>
  <si>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</si>
  <si>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</si>
  <si>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</si>
  <si>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</si>
  <si>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</si>
  <si>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</si>
  <si>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</si>
  <si>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</si>
  <si>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</si>
  <si>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</si>
  <si>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</si>
  <si>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</si>
  <si>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</si>
  <si>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</si>
  <si>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</si>
  <si>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</si>
  <si>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</si>
  <si>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</si>
  <si>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</si>
  <si>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</si>
  <si>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</si>
  <si>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</si>
  <si>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</si>
  <si>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</si>
  <si>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</si>
  <si>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</si>
  <si>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</si>
  <si>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</si>
  <si>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</si>
  <si>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</si>
  <si>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</si>
  <si>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</si>
  <si>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</si>
  <si>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</si>
  <si>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</si>
  <si>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</si>
  <si>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</si>
  <si>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</si>
  <si>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</si>
  <si>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</si>
  <si>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</si>
  <si>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</si>
  <si>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</si>
  <si>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</si>
  <si>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</si>
  <si>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</si>
  <si>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</si>
  <si>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</si>
  <si>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</si>
  <si>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</si>
  <si>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</si>
  <si>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</si>
  <si>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</si>
  <si>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</si>
  <si>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</si>
  <si>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</si>
  <si>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</si>
  <si>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</si>
  <si>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</si>
  <si>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</si>
  <si>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</si>
  <si>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</si>
  <si>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</si>
  <si>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</si>
  <si>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</si>
  <si>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</si>
  <si>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</si>
  <si>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</si>
  <si>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</si>
  <si>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</si>
  <si>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</si>
  <si>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</si>
  <si>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</si>
  <si>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</si>
  <si>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</si>
  <si>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</si>
  <si>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</si>
  <si>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</si>
  <si>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</si>
  <si>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</si>
  <si>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</si>
  <si>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</si>
  <si>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</si>
  <si>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</si>
  <si>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</si>
  <si>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</si>
  <si>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</si>
  <si>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</si>
  <si>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</si>
  <si>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</si>
  <si>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</si>
  <si>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</si>
  <si>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</si>
  <si>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</si>
  <si>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</si>
  <si>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</si>
  <si>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</si>
  <si>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</si>
  <si>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</si>
  <si>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</si>
  <si>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</si>
  <si>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</si>
  <si>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</si>
  <si>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</si>
  <si>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</si>
  <si>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</si>
  <si>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</si>
  <si>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</si>
  <si>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</si>
  <si>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</si>
  <si>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</si>
  <si>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</si>
  <si>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</si>
  <si>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</si>
  <si>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</si>
  <si>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</si>
  <si>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</si>
  <si>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</si>
  <si>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</si>
  <si>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</si>
  <si>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</si>
  <si>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</si>
  <si>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</si>
  <si>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</si>
  <si>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</si>
  <si>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</si>
  <si>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</si>
  <si>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</si>
  <si>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</si>
  <si>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</si>
  <si>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</si>
  <si>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</si>
  <si>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</si>
  <si>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</si>
  <si>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</si>
  <si>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</si>
  <si>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</si>
  <si>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</si>
  <si>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</si>
  <si>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</si>
  <si>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</si>
  <si>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</si>
  <si>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</si>
  <si>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</si>
  <si>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</si>
  <si>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</si>
  <si>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</si>
  <si>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</si>
  <si>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</si>
  <si>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</si>
  <si>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</si>
  <si>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</si>
  <si>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</si>
  <si>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</si>
  <si>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</si>
  <si>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</si>
  <si>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</si>
  <si>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</si>
  <si>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</si>
  <si>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</si>
  <si>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</si>
  <si>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</si>
  <si>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</si>
  <si>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</si>
  <si>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</si>
  <si>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</si>
  <si>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</si>
  <si>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</si>
  <si>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</si>
  <si>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</si>
  <si>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</si>
  <si>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</si>
  <si>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</si>
  <si>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</si>
  <si>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</si>
  <si>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</si>
  <si>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</si>
  <si>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</si>
  <si>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</si>
  <si>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</si>
  <si>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</si>
  <si>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</si>
  <si>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</si>
  <si>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</si>
  <si>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</si>
  <si>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</si>
  <si>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</si>
  <si>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</si>
  <si>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</si>
  <si>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</si>
  <si>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</si>
  <si>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</si>
  <si>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</si>
  <si>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</si>
  <si>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</si>
  <si>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</si>
  <si>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</si>
  <si>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</si>
  <si>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</si>
  <si>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</si>
  <si>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</si>
  <si>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</si>
  <si>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</si>
  <si>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</si>
  <si>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</si>
  <si>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</si>
  <si>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</si>
  <si>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</si>
  <si>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</si>
  <si>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</si>
  <si>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</si>
  <si>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</si>
  <si>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</si>
  <si>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</si>
  <si>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</si>
  <si>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</si>
  <si>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</si>
  <si>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</si>
  <si>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</si>
  <si>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</si>
  <si>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</si>
  <si>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</si>
  <si>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</si>
  <si>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</si>
  <si>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</si>
  <si>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</si>
  <si>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</si>
  <si>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</si>
  <si>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</si>
  <si>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</si>
  <si>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</si>
  <si>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</si>
  <si>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</si>
  <si>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</si>
  <si>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</si>
  <si>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</si>
  <si>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</si>
  <si>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</si>
  <si>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</si>
  <si>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</si>
  <si>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</si>
  <si>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</si>
  <si>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</si>
  <si>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</si>
  <si>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</si>
  <si>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</si>
  <si>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</si>
  <si>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</si>
  <si>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</si>
  <si>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</si>
  <si>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</si>
  <si>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</si>
  <si>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</si>
  <si>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</si>
  <si>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</si>
  <si>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</si>
  <si>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</si>
  <si>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</si>
  <si>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</si>
  <si>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</si>
  <si>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</si>
  <si>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</si>
  <si>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</si>
  <si>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</si>
  <si>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</si>
  <si>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</si>
  <si>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</si>
  <si>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</si>
  <si>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</si>
  <si>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</si>
  <si>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</si>
  <si>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</si>
  <si>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</si>
  <si>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</si>
  <si>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</si>
  <si>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</si>
  <si>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</si>
  <si>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</si>
  <si>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</si>
  <si>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</si>
  <si>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</si>
  <si>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</si>
  <si>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</si>
  <si>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</si>
  <si>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</si>
  <si>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</si>
  <si>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</si>
  <si>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</si>
  <si>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</si>
  <si>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</si>
  <si>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</si>
  <si>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</si>
  <si>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</si>
  <si>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</si>
  <si>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</si>
  <si>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</si>
  <si>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</si>
  <si>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</si>
  <si>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</si>
  <si>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</si>
  <si>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</si>
  <si>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</si>
  <si>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</si>
  <si>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</si>
  <si>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</si>
  <si>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</si>
  <si>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</si>
  <si>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</si>
  <si>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</si>
  <si>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</si>
  <si>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</si>
  <si>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</si>
  <si>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</si>
  <si>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</si>
  <si>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</si>
  <si>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</si>
  <si>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</si>
  <si>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</si>
  <si>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</si>
  <si>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</si>
  <si>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</si>
  <si>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</si>
  <si>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</si>
  <si>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</si>
  <si>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</si>
  <si>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</si>
  <si>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</si>
  <si>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</si>
  <si>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</si>
  <si>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</si>
  <si>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</si>
  <si>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</si>
  <si>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</si>
  <si>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</si>
  <si>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</si>
  <si>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</si>
  <si>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</si>
  <si>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</si>
  <si>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</si>
  <si>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</si>
  <si>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</si>
  <si>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</si>
  <si>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</si>
  <si>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</si>
  <si>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</si>
  <si>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</si>
  <si>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</si>
  <si>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</si>
  <si>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</si>
  <si>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</si>
  <si>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</si>
  <si>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</si>
  <si>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</si>
  <si>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</si>
  <si>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</si>
  <si>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</si>
  <si>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</si>
  <si>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</si>
  <si>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</si>
  <si>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</si>
  <si>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</si>
  <si>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</si>
  <si>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</si>
  <si>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</si>
  <si>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</si>
  <si>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</si>
  <si>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</si>
  <si>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</si>
  <si>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</si>
  <si>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</si>
  <si>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</si>
  <si>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</si>
  <si>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</si>
  <si>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</si>
  <si>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</si>
  <si>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</si>
  <si>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</si>
  <si>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</si>
  <si>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</si>
  <si>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</si>
  <si>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</si>
  <si>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</si>
  <si>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</si>
  <si>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</si>
  <si>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</si>
  <si>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</si>
  <si>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</si>
  <si>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</si>
  <si>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</si>
  <si>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</si>
  <si>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</si>
  <si>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</si>
  <si>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</si>
  <si>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</si>
  <si>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</si>
  <si>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</si>
  <si>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</si>
  <si>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</si>
  <si>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</si>
  <si>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</si>
  <si>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</si>
  <si>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</si>
  <si>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</si>
  <si>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</si>
  <si>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</si>
  <si>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</si>
  <si>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</si>
  <si>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</si>
  <si>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</si>
  <si>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</si>
  <si>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</si>
  <si>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</si>
  <si>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</si>
  <si>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</si>
  <si>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</si>
  <si>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</si>
  <si>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</si>
  <si>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</si>
  <si>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</si>
  <si>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</si>
  <si>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</si>
  <si>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</si>
  <si>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</si>
  <si>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</si>
  <si>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</si>
  <si>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</si>
  <si>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</si>
  <si>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</si>
  <si>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</si>
  <si>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</si>
  <si>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</si>
  <si>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</si>
  <si>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</si>
  <si>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</si>
  <si>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</si>
  <si>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</si>
  <si>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</si>
  <si>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</si>
  <si>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</si>
  <si>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</si>
  <si>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</si>
  <si>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</si>
  <si>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</si>
  <si>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</si>
  <si>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</si>
  <si>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</si>
  <si>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</si>
  <si>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</si>
  <si>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</si>
  <si>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</si>
  <si>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</si>
  <si>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</si>
  <si>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</si>
  <si>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</si>
  <si>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</si>
  <si>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</si>
  <si>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</si>
  <si>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</si>
  <si>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</si>
  <si>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</si>
  <si>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</si>
  <si>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</si>
  <si>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</si>
  <si>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</si>
  <si>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</si>
  <si>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</si>
  <si>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</si>
  <si>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</si>
  <si>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</si>
  <si>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</si>
  <si>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</si>
  <si>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</si>
  <si>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</si>
  <si>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</si>
  <si>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</si>
  <si>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</si>
  <si>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</si>
  <si>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</si>
  <si>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</si>
  <si>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</si>
  <si>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</si>
  <si>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</si>
  <si>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</si>
  <si>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</si>
  <si>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</si>
  <si>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</si>
  <si>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</si>
  <si>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</si>
  <si>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</si>
  <si>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</si>
  <si>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</si>
  <si>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</si>
  <si>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</si>
  <si>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</si>
  <si>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</si>
  <si>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</si>
  <si>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</si>
  <si>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</si>
  <si>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</si>
  <si>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</si>
  <si>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</si>
  <si>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</si>
  <si>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</si>
  <si>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</si>
  <si>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</si>
  <si>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</si>
  <si>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</si>
  <si>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</si>
  <si>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</si>
  <si>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</si>
  <si>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</si>
  <si>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</si>
  <si>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</si>
  <si>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</si>
  <si>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</si>
  <si>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</si>
  <si>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</si>
  <si>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</si>
  <si>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</si>
  <si>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</si>
  <si>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</si>
  <si>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</si>
  <si>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</si>
  <si>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</si>
  <si>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</si>
  <si>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</si>
  <si>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</si>
  <si>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</si>
  <si>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</si>
  <si>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</si>
  <si>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</si>
  <si>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</si>
  <si>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</si>
  <si>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</si>
  <si>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</si>
  <si>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</si>
  <si>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</si>
  <si>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</si>
  <si>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</si>
  <si>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</si>
  <si>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</si>
  <si>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</si>
  <si>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</si>
  <si>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</si>
  <si>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</si>
  <si>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</si>
  <si>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</si>
  <si>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</si>
  <si>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</si>
  <si>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</si>
  <si>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</si>
  <si>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</si>
  <si>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</si>
  <si>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</si>
  <si>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</si>
  <si>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</si>
  <si>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</si>
  <si>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</si>
  <si>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</si>
  <si>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</si>
  <si>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</si>
  <si>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</si>
  <si>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</si>
  <si>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</si>
  <si>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</si>
  <si>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</si>
  <si>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</si>
  <si>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</si>
  <si>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</si>
  <si>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</si>
  <si>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</si>
  <si>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</si>
  <si>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</si>
  <si>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</si>
  <si>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</si>
  <si>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</si>
  <si>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</si>
  <si>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</si>
  <si>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</si>
  <si>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</si>
  <si>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</si>
  <si>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</si>
  <si>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</si>
  <si>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</si>
  <si>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</si>
  <si>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</si>
  <si>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</si>
  <si>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</si>
  <si>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</si>
  <si>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</si>
  <si>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</si>
  <si>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</si>
  <si>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</si>
  <si>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</si>
  <si>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</si>
  <si>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</si>
  <si>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</si>
  <si>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</si>
  <si>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</si>
  <si>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</si>
  <si>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</si>
  <si>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</si>
  <si>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</si>
  <si>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</si>
  <si>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</si>
  <si>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</si>
  <si>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</si>
  <si>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</si>
  <si>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</si>
  <si>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</si>
  <si>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</si>
  <si>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</si>
  <si>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</si>
  <si>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</si>
  <si>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</si>
  <si>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</si>
  <si>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</si>
  <si>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</si>
  <si>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</si>
  <si>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</si>
  <si>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</si>
  <si>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</si>
  <si>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</si>
  <si>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</si>
  <si>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</si>
  <si>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</si>
  <si>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</si>
  <si>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</si>
  <si>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</si>
  <si>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</si>
  <si>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</si>
  <si>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</si>
  <si>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</si>
  <si>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</si>
  <si>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</si>
  <si>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</si>
  <si>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</si>
  <si>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</si>
  <si>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</si>
  <si>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</si>
  <si>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</si>
  <si>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</si>
  <si>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</si>
  <si>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</si>
  <si>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</si>
  <si>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</si>
  <si>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</si>
  <si>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</si>
  <si>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</si>
  <si>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</si>
  <si>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</si>
  <si>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</si>
  <si>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</si>
  <si>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</si>
  <si>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</si>
  <si>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</si>
  <si>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</si>
  <si>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</si>
  <si>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</si>
  <si>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</si>
  <si>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</si>
  <si>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</si>
  <si>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</si>
  <si>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</si>
  <si>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</si>
  <si>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</si>
  <si>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</si>
  <si>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</si>
  <si>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</si>
  <si>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</si>
  <si>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</si>
  <si>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</si>
  <si>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</si>
  <si>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</si>
  <si>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</si>
  <si>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</si>
  <si>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</si>
  <si>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</si>
  <si>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</si>
  <si>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</si>
  <si>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</si>
  <si>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</si>
  <si>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</si>
  <si>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</si>
  <si>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</si>
  <si>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</si>
  <si>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</si>
  <si>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</si>
  <si>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</si>
  <si>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</si>
  <si>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</si>
  <si>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</si>
  <si>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</si>
  <si>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</si>
  <si>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</si>
  <si>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</si>
  <si>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</si>
  <si>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</si>
  <si>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</si>
  <si>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</si>
  <si>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</si>
  <si>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</si>
  <si>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</si>
  <si>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</si>
  <si>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</si>
  <si>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</si>
  <si>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</si>
  <si>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</si>
  <si>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</si>
  <si>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</si>
  <si>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</si>
  <si>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</si>
  <si>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</si>
  <si>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</si>
  <si>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</si>
  <si>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</si>
  <si>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</si>
  <si>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</si>
  <si>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</si>
  <si>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</si>
  <si>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</si>
  <si>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</si>
  <si>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</si>
  <si>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</si>
  <si>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</si>
  <si>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</si>
  <si>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</si>
  <si>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</si>
  <si>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</si>
  <si>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</si>
  <si>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</si>
  <si>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</si>
  <si>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</si>
  <si>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</si>
  <si>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</si>
  <si>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</si>
  <si>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</si>
  <si>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</si>
  <si>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</si>
  <si>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</si>
  <si>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</si>
  <si>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</si>
  <si>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</si>
  <si>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</si>
  <si>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</si>
  <si>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</si>
  <si>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</si>
  <si>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</si>
  <si>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</si>
  <si>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</si>
  <si>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</si>
  <si>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</si>
  <si>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</si>
  <si>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</si>
  <si>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</si>
  <si>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</si>
  <si>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</si>
  <si>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</si>
  <si>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</si>
  <si>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</si>
  <si>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</si>
  <si>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</si>
  <si>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</si>
  <si>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</si>
  <si>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</si>
  <si>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</si>
  <si>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</si>
  <si>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</si>
  <si>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</si>
  <si>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</si>
  <si>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</si>
  <si>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</si>
  <si>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</si>
  <si>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</si>
  <si>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</si>
  <si>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</si>
  <si>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</si>
  <si>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</si>
  <si>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</si>
  <si>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</si>
  <si>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</si>
  <si>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</si>
  <si>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</si>
  <si>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</si>
  <si>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</si>
  <si>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</si>
  <si>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</si>
  <si>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</si>
  <si>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</si>
  <si>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</si>
  <si>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</si>
  <si>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</si>
  <si>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</si>
  <si>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</si>
  <si>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</si>
  <si>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</si>
  <si>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</si>
  <si>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</si>
  <si>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</si>
  <si>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</si>
  <si>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</si>
  <si>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</si>
  <si>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</si>
  <si>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</si>
  <si>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</si>
  <si>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</si>
  <si>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</si>
  <si>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</si>
  <si>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</si>
  <si>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</si>
  <si>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</si>
  <si>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</si>
  <si>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</si>
  <si>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</si>
  <si>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</si>
  <si>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</si>
  <si>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</si>
  <si>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</si>
  <si>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</si>
  <si>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</si>
  <si>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</si>
  <si>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</si>
  <si>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</si>
  <si>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</si>
  <si>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</si>
  <si>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</si>
  <si>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</si>
  <si>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</si>
  <si>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</si>
  <si>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</si>
  <si>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</si>
  <si>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</si>
  <si>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</si>
  <si>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</si>
  <si>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</si>
  <si>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</si>
  <si>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</si>
  <si>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</si>
  <si>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</si>
  <si>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</si>
  <si>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</si>
  <si>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</si>
  <si>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</si>
  <si>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</si>
  <si>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</si>
  <si>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</si>
  <si>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</si>
  <si>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</si>
  <si>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</si>
  <si>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</si>
  <si>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</si>
  <si>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</si>
  <si>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</si>
  <si>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</si>
  <si>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</si>
  <si>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</si>
  <si>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</si>
  <si>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</si>
  <si>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</si>
  <si>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</si>
  <si>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</si>
  <si>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</si>
  <si>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</si>
  <si>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</si>
  <si>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</si>
  <si>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</si>
  <si>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</si>
  <si>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</si>
  <si>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</si>
  <si>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</si>
  <si>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</si>
  <si>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</si>
  <si>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</si>
  <si>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</si>
  <si>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</si>
  <si>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</si>
  <si>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</si>
  <si>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</si>
  <si>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</si>
  <si>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</si>
  <si>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</si>
  <si>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</si>
  <si>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</si>
  <si>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</si>
  <si>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</si>
  <si>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</si>
  <si>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</si>
  <si>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</si>
  <si>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</si>
  <si>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</si>
  <si>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</si>
  <si>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</si>
  <si>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</si>
  <si>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</si>
  <si>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</si>
  <si>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</si>
  <si>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</si>
  <si>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</si>
  <si>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</si>
  <si>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</si>
  <si>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</si>
  <si>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</si>
  <si>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</si>
  <si>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</si>
  <si>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</si>
  <si>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</si>
  <si>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</si>
  <si>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</si>
  <si>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</si>
  <si>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</si>
  <si>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</si>
  <si>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</si>
  <si>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</si>
  <si>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</si>
  <si>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</si>
  <si>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</si>
  <si>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</si>
  <si>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</si>
  <si>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</si>
  <si>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</si>
  <si>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</si>
  <si>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</si>
  <si>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</si>
  <si>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</si>
  <si>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</si>
  <si>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</si>
  <si>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</si>
  <si>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</si>
  <si>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</si>
  <si>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</si>
  <si>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</si>
  <si>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</si>
  <si>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</si>
  <si>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</si>
  <si>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</si>
  <si>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</si>
  <si>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</si>
  <si>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</si>
  <si>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</si>
  <si>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</si>
  <si>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</si>
  <si>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</si>
  <si>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</si>
  <si>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</si>
  <si>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</si>
  <si>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</si>
  <si>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</si>
  <si>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</si>
  <si>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</si>
  <si>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</si>
  <si>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</si>
  <si>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</si>
  <si>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</si>
  <si>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</si>
  <si>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</si>
  <si>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</si>
  <si>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</si>
  <si>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</si>
  <si>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</si>
  <si>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</si>
  <si>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</si>
  <si>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</si>
  <si>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</si>
  <si>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</si>
  <si>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</si>
  <si>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</si>
  <si>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</si>
  <si>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</si>
  <si>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</si>
  <si>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</si>
  <si>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</si>
  <si>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</si>
  <si>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</si>
  <si>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</si>
  <si>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</si>
  <si>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</si>
  <si>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</si>
  <si>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</si>
  <si>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</si>
  <si>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</si>
  <si>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</si>
  <si>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</si>
  <si>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</si>
  <si>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</si>
  <si>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</si>
  <si>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</si>
  <si>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</si>
  <si>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</si>
  <si>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</si>
  <si>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</si>
  <si>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</si>
  <si>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</si>
  <si>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</si>
  <si>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</si>
  <si>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</si>
  <si>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</si>
  <si>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</si>
  <si>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</si>
  <si>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</si>
  <si>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</si>
  <si>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</si>
  <si>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</si>
  <si>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</si>
  <si>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</si>
  <si>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</si>
  <si>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</si>
  <si>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</si>
  <si>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</si>
  <si>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</si>
  <si>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</si>
  <si>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</si>
  <si>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</si>
  <si>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</si>
  <si>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</si>
  <si>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</si>
  <si>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</si>
  <si>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</si>
  <si>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</si>
  <si>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</si>
  <si>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</si>
  <si>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</si>
  <si>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</si>
  <si>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</si>
  <si>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</si>
  <si>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</si>
  <si>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</si>
  <si>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</si>
  <si>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</si>
  <si>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</si>
  <si>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</si>
  <si>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</si>
  <si>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</si>
  <si>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</si>
  <si>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</si>
  <si>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</si>
  <si>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</si>
  <si>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</si>
  <si>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</si>
  <si>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</si>
  <si>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</si>
  <si>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</si>
  <si>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</si>
  <si>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</si>
  <si>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</si>
  <si>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</si>
  <si>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</si>
  <si>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</si>
  <si>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</si>
  <si>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</si>
  <si>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</si>
  <si>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</si>
  <si>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</si>
  <si>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</si>
  <si>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</si>
  <si>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</si>
  <si>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</si>
  <si>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</si>
  <si>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</si>
  <si>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</si>
  <si>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 Orders</t>
  </si>
  <si>
    <t>Median Order Price</t>
  </si>
  <si>
    <t>Lowest Order Price</t>
  </si>
  <si>
    <t>Highest Order Price</t>
  </si>
  <si>
    <t>Average Order Price</t>
  </si>
  <si>
    <t>Most Returned Product</t>
  </si>
  <si>
    <t>Most Shipped Product</t>
  </si>
  <si>
    <t>Total Shipped Orders</t>
  </si>
  <si>
    <t>Total Returned Orders</t>
  </si>
  <si>
    <t>Total Delivered Orders</t>
  </si>
  <si>
    <t>Total Pending Orders</t>
  </si>
  <si>
    <t>Metric</t>
  </si>
  <si>
    <t>Value</t>
  </si>
  <si>
    <t>🧾 Order Summary</t>
  </si>
  <si>
    <t>📦 Product Performance</t>
  </si>
  <si>
    <t>Most Sold Product</t>
  </si>
  <si>
    <t>🚦 Order Status Breakdown</t>
  </si>
  <si>
    <t>Total Cancelled Orders</t>
  </si>
  <si>
    <t>💳 Payment Analysis</t>
  </si>
  <si>
    <t>Most Used Payment Method</t>
  </si>
  <si>
    <t>📣 Referral Source Analysis</t>
  </si>
  <si>
    <t>Most Popular Referral Source</t>
  </si>
  <si>
    <t>Source With Highest Income</t>
  </si>
  <si>
    <t>Source With Most Cancellations</t>
  </si>
  <si>
    <t>Source With Most Coupon Users</t>
  </si>
  <si>
    <t>🎟️ Coupon Analysis</t>
  </si>
  <si>
    <t>Coupon Users Count</t>
  </si>
  <si>
    <t>Non Coupon Users Count</t>
  </si>
  <si>
    <t>📅 Time Analysis</t>
  </si>
  <si>
    <t>Day of Week With Most Orders</t>
  </si>
  <si>
    <t>Month With Most Orders</t>
  </si>
  <si>
    <t>Month With Least Orders</t>
  </si>
  <si>
    <t>🛒 Cart Behavior</t>
  </si>
  <si>
    <t>Avg Items in Cart - Shipped</t>
  </si>
  <si>
    <t>Avg Items in Cart - Cancelled</t>
  </si>
  <si>
    <t>Avg Items in Cart - Returned</t>
  </si>
  <si>
    <t xml:space="preserve"> EDA ANALYSIS — DecodeLabs Internship Project 2</t>
  </si>
  <si>
    <t>No data</t>
  </si>
  <si>
    <t>Month</t>
  </si>
  <si>
    <t>Returning Customers</t>
  </si>
  <si>
    <t>Max Orders by one customer</t>
  </si>
  <si>
    <t>Returning Customer</t>
  </si>
  <si>
    <t>Most Bought Products by Returning Customers</t>
  </si>
  <si>
    <t>Avg Items Per Order - Returning Customers</t>
  </si>
  <si>
    <t>Customer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</si>
</sst>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E4057"/>
      </patternFill>
    </fill>
    <fill>
      <patternFill patternType="solid">
        <fgColor rgb="FFD9E8F5"/>
      </patternFill>
    </fill>
    <fill>
      <patternFill patternType="solid">
        <fgColor rgb="FF048A81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C1" workbookViewId="0">
      <selection activeCell="Q6" sqref="Q6"/>
    </sheetView>
  </sheetViews>
  <sheetFormatPr defaultRowHeight="15" x14ac:dyDescent="0.25"/>
  <cols>
    <col min="1" max="14" width="18.5703125" style="2" customWidth="1"/>
    <col min="15" max="15" width="15.140625" customWidth="1"/>
    <col min="16" max="16" width="18.28515625" customWidth="1"/>
  </cols>
  <sheetData>
    <row r="1" spans="1:16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9" t="s">
        <v>4321</v>
      </c>
      <c r="P1" s="19" t="s">
        <v>4324</v>
      </c>
    </row>
    <row r="2" spans="1:16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  <c r="O2" t="str">
        <f>TEXT(B2,"mmmm")</f>
        <v>January</v>
      </c>
      <c r="P2" t="str">
        <f t="array" ref="P2">IF(COUNTIF('Cleaned Dataset'!$C$2:$C$1201,C2)&gt;1,"Yes","No")</f>
        <v>No</v>
      </c>
    </row>
    <row r="3" spans="1:16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  <c r="O3" t="str">
        <f t="shared" ref="O3:O66" si="0">TEXT(B3,"mmmm")</f>
        <v>August</v>
      </c>
      <c r="P3" t="str">
        <f t="array" ref="P3">IF(COUNTIF('Cleaned Dataset'!$C$2:$C$1201,C3)&gt;1,"Yes","No")</f>
        <v>No</v>
      </c>
    </row>
    <row r="4" spans="1:16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  <c r="O4" t="str">
        <f t="shared" si="0"/>
        <v>February</v>
      </c>
      <c r="P4" t="str">
        <f t="array" ref="P4">IF(COUNTIF('Cleaned Dataset'!$C$2:$C$1201,C4)&gt;1,"Yes","No")</f>
        <v>No</v>
      </c>
    </row>
    <row r="5" spans="1:16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  <c r="O5" t="str">
        <f t="shared" si="0"/>
        <v>October</v>
      </c>
      <c r="P5" t="str">
        <f t="array" ref="P5">IF(COUNTIF('Cleaned Dataset'!$C$2:$C$1201,C5)&gt;1,"Yes","No")</f>
        <v>No</v>
      </c>
    </row>
    <row r="6" spans="1:16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  <c r="O6" t="str">
        <f t="shared" si="0"/>
        <v>May</v>
      </c>
      <c r="P6" t="str">
        <f t="array" ref="P6">IF(COUNTIF('Cleaned Dataset'!$C$2:$C$1201,C6)&gt;1,"Yes","No")</f>
        <v>No</v>
      </c>
    </row>
    <row r="7" spans="1:16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  <c r="O7" t="str">
        <f t="shared" si="0"/>
        <v>October</v>
      </c>
      <c r="P7" t="str">
        <f t="array" ref="P7">IF(COUNTIF('Cleaned Dataset'!$C$2:$C$1201,C7)&gt;1,"Yes","No")</f>
        <v>No</v>
      </c>
    </row>
    <row r="8" spans="1:16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  <c r="O8" t="str">
        <f t="shared" si="0"/>
        <v>June</v>
      </c>
      <c r="P8" t="str">
        <f t="array" ref="P8">IF(COUNTIF('Cleaned Dataset'!$C$2:$C$1201,C8)&gt;1,"Yes","No")</f>
        <v>No</v>
      </c>
    </row>
    <row r="9" spans="1:16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  <c r="O9" t="str">
        <f t="shared" si="0"/>
        <v>May</v>
      </c>
      <c r="P9" t="str">
        <f t="array" ref="P9">IF(COUNTIF('Cleaned Dataset'!$C$2:$C$1201,C9)&gt;1,"Yes","No")</f>
        <v>No</v>
      </c>
    </row>
    <row r="10" spans="1:16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4320</v>
      </c>
      <c r="M10" s="2" t="s">
        <v>4280</v>
      </c>
      <c r="N10" s="2">
        <v>268.56</v>
      </c>
      <c r="O10" t="str">
        <f t="shared" si="0"/>
        <v>April</v>
      </c>
      <c r="P10" t="str">
        <f t="array" ref="P10">IF(COUNTIF('Cleaned Dataset'!$C$2:$C$1201,C10)&gt;1,"Yes","No")</f>
        <v>No</v>
      </c>
    </row>
    <row r="11" spans="1:16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  <c r="O11" t="str">
        <f t="shared" si="0"/>
        <v>November</v>
      </c>
      <c r="P11" t="str">
        <f t="array" ref="P11">IF(COUNTIF('Cleaned Dataset'!$C$2:$C$1201,C11)&gt;1,"Yes","No")</f>
        <v>No</v>
      </c>
    </row>
    <row r="12" spans="1:16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  <c r="O12" t="str">
        <f t="shared" si="0"/>
        <v>December</v>
      </c>
      <c r="P12" t="str">
        <f t="array" ref="P12">IF(COUNTIF('Cleaned Dataset'!$C$2:$C$1201,C12)&gt;1,"Yes","No")</f>
        <v>No</v>
      </c>
    </row>
    <row r="13" spans="1:16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  <c r="O13" t="str">
        <f t="shared" si="0"/>
        <v>February</v>
      </c>
      <c r="P13" t="str">
        <f t="array" ref="P13">IF(COUNTIF('Cleaned Dataset'!$C$2:$C$1201,C13)&gt;1,"Yes","No")</f>
        <v>No</v>
      </c>
    </row>
    <row r="14" spans="1:16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  <c r="O14" t="str">
        <f t="shared" si="0"/>
        <v>October</v>
      </c>
      <c r="P14" t="str">
        <f t="array" ref="P14">IF(COUNTIF('Cleaned Dataset'!$C$2:$C$1201,C14)&gt;1,"Yes","No")</f>
        <v>No</v>
      </c>
    </row>
    <row r="15" spans="1:16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  <c r="O15" t="str">
        <f t="shared" si="0"/>
        <v>August</v>
      </c>
      <c r="P15" t="str">
        <f t="array" ref="P15">IF(COUNTIF('Cleaned Dataset'!$C$2:$C$1201,C15)&gt;1,"Yes","No")</f>
        <v>No</v>
      </c>
    </row>
    <row r="16" spans="1:16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  <c r="O16" t="str">
        <f t="shared" si="0"/>
        <v>March</v>
      </c>
      <c r="P16" t="str">
        <f t="array" ref="P16">IF(COUNTIF('Cleaned Dataset'!$C$2:$C$1201,C16)&gt;1,"Yes","No")</f>
        <v>Yes</v>
      </c>
    </row>
    <row r="17" spans="1:16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4320</v>
      </c>
      <c r="M17" s="2" t="s">
        <v>4282</v>
      </c>
      <c r="N17" s="2">
        <v>473.96</v>
      </c>
      <c r="O17" t="str">
        <f t="shared" si="0"/>
        <v>July</v>
      </c>
      <c r="P17" t="str">
        <f t="array" ref="P17">IF(COUNTIF('Cleaned Dataset'!$C$2:$C$1201,C17)&gt;1,"Yes","No")</f>
        <v>No</v>
      </c>
    </row>
    <row r="18" spans="1:16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  <c r="O18" t="str">
        <f t="shared" si="0"/>
        <v>January</v>
      </c>
      <c r="P18" t="str">
        <f t="array" ref="P18">IF(COUNTIF('Cleaned Dataset'!$C$2:$C$1201,C18)&gt;1,"Yes","No")</f>
        <v>No</v>
      </c>
    </row>
    <row r="19" spans="1:16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4320</v>
      </c>
      <c r="M19" s="2" t="s">
        <v>4279</v>
      </c>
      <c r="N19" s="2">
        <v>423.4</v>
      </c>
      <c r="O19" t="str">
        <f t="shared" si="0"/>
        <v>March</v>
      </c>
      <c r="P19" t="str">
        <f t="array" ref="P19">IF(COUNTIF('Cleaned Dataset'!$C$2:$C$1201,C19)&gt;1,"Yes","No")</f>
        <v>No</v>
      </c>
    </row>
    <row r="20" spans="1:16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  <c r="O20" t="str">
        <f t="shared" si="0"/>
        <v>March</v>
      </c>
      <c r="P20" t="str">
        <f t="array" ref="P20">IF(COUNTIF('Cleaned Dataset'!$C$2:$C$1201,C20)&gt;1,"Yes","No")</f>
        <v>No</v>
      </c>
    </row>
    <row r="21" spans="1:16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  <c r="O21" t="str">
        <f t="shared" si="0"/>
        <v>January</v>
      </c>
      <c r="P21" t="str">
        <f t="array" ref="P21">IF(COUNTIF('Cleaned Dataset'!$C$2:$C$1201,C21)&gt;1,"Yes","No")</f>
        <v>No</v>
      </c>
    </row>
    <row r="22" spans="1:16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  <c r="O22" t="str">
        <f t="shared" si="0"/>
        <v>May</v>
      </c>
      <c r="P22" t="str">
        <f t="array" ref="P22">IF(COUNTIF('Cleaned Dataset'!$C$2:$C$1201,C22)&gt;1,"Yes","No")</f>
        <v>No</v>
      </c>
    </row>
    <row r="23" spans="1:16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4320</v>
      </c>
      <c r="M23" s="2" t="s">
        <v>4282</v>
      </c>
      <c r="N23" s="2">
        <v>1371.8</v>
      </c>
      <c r="O23" t="str">
        <f t="shared" si="0"/>
        <v>November</v>
      </c>
      <c r="P23" t="str">
        <f t="array" ref="P23">IF(COUNTIF('Cleaned Dataset'!$C$2:$C$1201,C23)&gt;1,"Yes","No")</f>
        <v>No</v>
      </c>
    </row>
    <row r="24" spans="1:16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  <c r="O24" t="str">
        <f t="shared" si="0"/>
        <v>January</v>
      </c>
      <c r="P24" t="str">
        <f t="array" ref="P24">IF(COUNTIF('Cleaned Dataset'!$C$2:$C$1201,C24)&gt;1,"Yes","No")</f>
        <v>No</v>
      </c>
    </row>
    <row r="25" spans="1:16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  <c r="O25" t="str">
        <f t="shared" si="0"/>
        <v>April</v>
      </c>
      <c r="P25" t="str">
        <f t="array" ref="P25">IF(COUNTIF('Cleaned Dataset'!$C$2:$C$1201,C25)&gt;1,"Yes","No")</f>
        <v>No</v>
      </c>
    </row>
    <row r="26" spans="1:16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  <c r="O26" t="str">
        <f t="shared" si="0"/>
        <v>October</v>
      </c>
      <c r="P26" t="str">
        <f t="array" ref="P26">IF(COUNTIF('Cleaned Dataset'!$C$2:$C$1201,C26)&gt;1,"Yes","No")</f>
        <v>No</v>
      </c>
    </row>
    <row r="27" spans="1:16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  <c r="O27" t="str">
        <f t="shared" si="0"/>
        <v>July</v>
      </c>
      <c r="P27" t="str">
        <f t="array" ref="P27">IF(COUNTIF('Cleaned Dataset'!$C$2:$C$1201,C27)&gt;1,"Yes","No")</f>
        <v>No</v>
      </c>
    </row>
    <row r="28" spans="1:16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4320</v>
      </c>
      <c r="M28" s="2" t="s">
        <v>4279</v>
      </c>
      <c r="N28" s="2">
        <v>297.75</v>
      </c>
      <c r="O28" t="str">
        <f t="shared" si="0"/>
        <v>March</v>
      </c>
      <c r="P28" t="str">
        <f t="array" ref="P28">IF(COUNTIF('Cleaned Dataset'!$C$2:$C$1201,C28)&gt;1,"Yes","No")</f>
        <v>No</v>
      </c>
    </row>
    <row r="29" spans="1:16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  <c r="O29" t="str">
        <f t="shared" si="0"/>
        <v>February</v>
      </c>
      <c r="P29" t="str">
        <f t="array" ref="P29">IF(COUNTIF('Cleaned Dataset'!$C$2:$C$1201,C29)&gt;1,"Yes","No")</f>
        <v>Yes</v>
      </c>
    </row>
    <row r="30" spans="1:16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4320</v>
      </c>
      <c r="M30" s="2" t="s">
        <v>4280</v>
      </c>
      <c r="N30" s="2">
        <v>640.28</v>
      </c>
      <c r="O30" t="str">
        <f t="shared" si="0"/>
        <v>November</v>
      </c>
      <c r="P30" t="str">
        <f t="array" ref="P30">IF(COUNTIF('Cleaned Dataset'!$C$2:$C$1201,C30)&gt;1,"Yes","No")</f>
        <v>No</v>
      </c>
    </row>
    <row r="31" spans="1:16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  <c r="O31" t="str">
        <f t="shared" si="0"/>
        <v>September</v>
      </c>
      <c r="P31" t="str">
        <f t="array" ref="P31">IF(COUNTIF('Cleaned Dataset'!$C$2:$C$1201,C31)&gt;1,"Yes","No")</f>
        <v>No</v>
      </c>
    </row>
    <row r="32" spans="1:16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  <c r="O32" t="str">
        <f t="shared" si="0"/>
        <v>March</v>
      </c>
      <c r="P32" t="str">
        <f t="array" ref="P32">IF(COUNTIF('Cleaned Dataset'!$C$2:$C$1201,C32)&gt;1,"Yes","No")</f>
        <v>No</v>
      </c>
    </row>
    <row r="33" spans="1:16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4320</v>
      </c>
      <c r="M33" s="2" t="s">
        <v>4281</v>
      </c>
      <c r="N33" s="2">
        <v>1500.24</v>
      </c>
      <c r="O33" t="str">
        <f t="shared" si="0"/>
        <v>June</v>
      </c>
      <c r="P33" t="str">
        <f t="array" ref="P33">IF(COUNTIF('Cleaned Dataset'!$C$2:$C$1201,C33)&gt;1,"Yes","No")</f>
        <v>No</v>
      </c>
    </row>
    <row r="34" spans="1:16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4320</v>
      </c>
      <c r="M34" s="2" t="s">
        <v>4280</v>
      </c>
      <c r="N34" s="2">
        <v>2683.6</v>
      </c>
      <c r="O34" t="str">
        <f t="shared" si="0"/>
        <v>May</v>
      </c>
      <c r="P34" t="str">
        <f t="array" ref="P34">IF(COUNTIF('Cleaned Dataset'!$C$2:$C$1201,C34)&gt;1,"Yes","No")</f>
        <v>No</v>
      </c>
    </row>
    <row r="35" spans="1:16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  <c r="O35" t="str">
        <f t="shared" si="0"/>
        <v>June</v>
      </c>
      <c r="P35" t="str">
        <f t="array" ref="P35">IF(COUNTIF('Cleaned Dataset'!$C$2:$C$1201,C35)&gt;1,"Yes","No")</f>
        <v>No</v>
      </c>
    </row>
    <row r="36" spans="1:16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  <c r="O36" t="str">
        <f t="shared" si="0"/>
        <v>January</v>
      </c>
      <c r="P36" t="str">
        <f t="array" ref="P36">IF(COUNTIF('Cleaned Dataset'!$C$2:$C$1201,C36)&gt;1,"Yes","No")</f>
        <v>No</v>
      </c>
    </row>
    <row r="37" spans="1:16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  <c r="O37" t="str">
        <f t="shared" si="0"/>
        <v>December</v>
      </c>
      <c r="P37" t="str">
        <f t="array" ref="P37">IF(COUNTIF('Cleaned Dataset'!$C$2:$C$1201,C37)&gt;1,"Yes","No")</f>
        <v>No</v>
      </c>
    </row>
    <row r="38" spans="1:16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4320</v>
      </c>
      <c r="M38" s="2" t="s">
        <v>4281</v>
      </c>
      <c r="N38" s="2">
        <v>1068.8599999999999</v>
      </c>
      <c r="O38" t="str">
        <f t="shared" si="0"/>
        <v>May</v>
      </c>
      <c r="P38" t="str">
        <f t="array" ref="P38">IF(COUNTIF('Cleaned Dataset'!$C$2:$C$1201,C38)&gt;1,"Yes","No")</f>
        <v>No</v>
      </c>
    </row>
    <row r="39" spans="1:16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  <c r="O39" t="str">
        <f t="shared" si="0"/>
        <v>October</v>
      </c>
      <c r="P39" t="str">
        <f t="array" ref="P39">IF(COUNTIF('Cleaned Dataset'!$C$2:$C$1201,C39)&gt;1,"Yes","No")</f>
        <v>No</v>
      </c>
    </row>
    <row r="40" spans="1:16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  <c r="O40" t="str">
        <f t="shared" si="0"/>
        <v>December</v>
      </c>
      <c r="P40" t="str">
        <f t="array" ref="P40">IF(COUNTIF('Cleaned Dataset'!$C$2:$C$1201,C40)&gt;1,"Yes","No")</f>
        <v>No</v>
      </c>
    </row>
    <row r="41" spans="1:16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  <c r="O41" t="str">
        <f t="shared" si="0"/>
        <v>February</v>
      </c>
      <c r="P41" t="str">
        <f t="array" ref="P41">IF(COUNTIF('Cleaned Dataset'!$C$2:$C$1201,C41)&gt;1,"Yes","No")</f>
        <v>No</v>
      </c>
    </row>
    <row r="42" spans="1:16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  <c r="O42" t="str">
        <f t="shared" si="0"/>
        <v>August</v>
      </c>
      <c r="P42" t="str">
        <f t="array" ref="P42">IF(COUNTIF('Cleaned Dataset'!$C$2:$C$1201,C42)&gt;1,"Yes","No")</f>
        <v>No</v>
      </c>
    </row>
    <row r="43" spans="1:16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  <c r="O43" t="str">
        <f t="shared" si="0"/>
        <v>December</v>
      </c>
      <c r="P43" t="str">
        <f t="array" ref="P43">IF(COUNTIF('Cleaned Dataset'!$C$2:$C$1201,C43)&gt;1,"Yes","No")</f>
        <v>No</v>
      </c>
    </row>
    <row r="44" spans="1:16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4320</v>
      </c>
      <c r="M44" s="2" t="s">
        <v>4278</v>
      </c>
      <c r="N44" s="2">
        <v>303.32</v>
      </c>
      <c r="O44" t="str">
        <f t="shared" si="0"/>
        <v>May</v>
      </c>
      <c r="P44" t="str">
        <f t="array" ref="P44">IF(COUNTIF('Cleaned Dataset'!$C$2:$C$1201,C44)&gt;1,"Yes","No")</f>
        <v>No</v>
      </c>
    </row>
    <row r="45" spans="1:16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4320</v>
      </c>
      <c r="M45" s="2" t="s">
        <v>4278</v>
      </c>
      <c r="N45" s="2">
        <v>1497.63</v>
      </c>
      <c r="O45" t="str">
        <f t="shared" si="0"/>
        <v>December</v>
      </c>
      <c r="P45" t="str">
        <f t="array" ref="P45">IF(COUNTIF('Cleaned Dataset'!$C$2:$C$1201,C45)&gt;1,"Yes","No")</f>
        <v>No</v>
      </c>
    </row>
    <row r="46" spans="1:16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  <c r="O46" t="str">
        <f t="shared" si="0"/>
        <v>April</v>
      </c>
      <c r="P46" t="str">
        <f t="array" ref="P46">IF(COUNTIF('Cleaned Dataset'!$C$2:$C$1201,C46)&gt;1,"Yes","No")</f>
        <v>No</v>
      </c>
    </row>
    <row r="47" spans="1:16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  <c r="O47" t="str">
        <f t="shared" si="0"/>
        <v>February</v>
      </c>
      <c r="P47" t="str">
        <f t="array" ref="P47">IF(COUNTIF('Cleaned Dataset'!$C$2:$C$1201,C47)&gt;1,"Yes","No")</f>
        <v>No</v>
      </c>
    </row>
    <row r="48" spans="1:16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  <c r="O48" t="str">
        <f t="shared" si="0"/>
        <v>June</v>
      </c>
      <c r="P48" t="str">
        <f t="array" ref="P48">IF(COUNTIF('Cleaned Dataset'!$C$2:$C$1201,C48)&gt;1,"Yes","No")</f>
        <v>No</v>
      </c>
    </row>
    <row r="49" spans="1:16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  <c r="O49" t="str">
        <f t="shared" si="0"/>
        <v>July</v>
      </c>
      <c r="P49" t="str">
        <f t="array" ref="P49">IF(COUNTIF('Cleaned Dataset'!$C$2:$C$1201,C49)&gt;1,"Yes","No")</f>
        <v>No</v>
      </c>
    </row>
    <row r="50" spans="1:16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4320</v>
      </c>
      <c r="M50" s="2" t="s">
        <v>4282</v>
      </c>
      <c r="N50" s="2">
        <v>161.54</v>
      </c>
      <c r="O50" t="str">
        <f t="shared" si="0"/>
        <v>August</v>
      </c>
      <c r="P50" t="str">
        <f t="array" ref="P50">IF(COUNTIF('Cleaned Dataset'!$C$2:$C$1201,C50)&gt;1,"Yes","No")</f>
        <v>No</v>
      </c>
    </row>
    <row r="51" spans="1:16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  <c r="O51" t="str">
        <f t="shared" si="0"/>
        <v>October</v>
      </c>
      <c r="P51" t="str">
        <f t="array" ref="P51">IF(COUNTIF('Cleaned Dataset'!$C$2:$C$1201,C51)&gt;1,"Yes","No")</f>
        <v>No</v>
      </c>
    </row>
    <row r="52" spans="1:16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  <c r="O52" t="str">
        <f t="shared" si="0"/>
        <v>July</v>
      </c>
      <c r="P52" t="str">
        <f t="array" ref="P52">IF(COUNTIF('Cleaned Dataset'!$C$2:$C$1201,C52)&gt;1,"Yes","No")</f>
        <v>No</v>
      </c>
    </row>
    <row r="53" spans="1:16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  <c r="O53" t="str">
        <f t="shared" si="0"/>
        <v>December</v>
      </c>
      <c r="P53" t="str">
        <f t="array" ref="P53">IF(COUNTIF('Cleaned Dataset'!$C$2:$C$1201,C53)&gt;1,"Yes","No")</f>
        <v>No</v>
      </c>
    </row>
    <row r="54" spans="1:16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  <c r="O54" t="str">
        <f t="shared" si="0"/>
        <v>September</v>
      </c>
      <c r="P54" t="str">
        <f t="array" ref="P54">IF(COUNTIF('Cleaned Dataset'!$C$2:$C$1201,C54)&gt;1,"Yes","No")</f>
        <v>No</v>
      </c>
    </row>
    <row r="55" spans="1:16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  <c r="O55" t="str">
        <f t="shared" si="0"/>
        <v>May</v>
      </c>
      <c r="P55" t="str">
        <f t="array" ref="P55">IF(COUNTIF('Cleaned Dataset'!$C$2:$C$1201,C55)&gt;1,"Yes","No")</f>
        <v>No</v>
      </c>
    </row>
    <row r="56" spans="1:16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  <c r="O56" t="str">
        <f t="shared" si="0"/>
        <v>March</v>
      </c>
      <c r="P56" t="str">
        <f t="array" ref="P56">IF(COUNTIF('Cleaned Dataset'!$C$2:$C$1201,C56)&gt;1,"Yes","No")</f>
        <v>No</v>
      </c>
    </row>
    <row r="57" spans="1:16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4320</v>
      </c>
      <c r="M57" s="2" t="s">
        <v>4281</v>
      </c>
      <c r="N57" s="2">
        <v>1033.2</v>
      </c>
      <c r="O57" t="str">
        <f t="shared" si="0"/>
        <v>June</v>
      </c>
      <c r="P57" t="str">
        <f t="array" ref="P57">IF(COUNTIF('Cleaned Dataset'!$C$2:$C$1201,C57)&gt;1,"Yes","No")</f>
        <v>No</v>
      </c>
    </row>
    <row r="58" spans="1:16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  <c r="O58" t="str">
        <f t="shared" si="0"/>
        <v>May</v>
      </c>
      <c r="P58" t="str">
        <f t="array" ref="P58">IF(COUNTIF('Cleaned Dataset'!$C$2:$C$1201,C58)&gt;1,"Yes","No")</f>
        <v>No</v>
      </c>
    </row>
    <row r="59" spans="1:16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  <c r="O59" t="str">
        <f t="shared" si="0"/>
        <v>January</v>
      </c>
      <c r="P59" t="str">
        <f t="array" ref="P59">IF(COUNTIF('Cleaned Dataset'!$C$2:$C$1201,C59)&gt;1,"Yes","No")</f>
        <v>No</v>
      </c>
    </row>
    <row r="60" spans="1:16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  <c r="O60" t="str">
        <f t="shared" si="0"/>
        <v>January</v>
      </c>
      <c r="P60" t="str">
        <f t="array" ref="P60">IF(COUNTIF('Cleaned Dataset'!$C$2:$C$1201,C60)&gt;1,"Yes","No")</f>
        <v>No</v>
      </c>
    </row>
    <row r="61" spans="1:16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4320</v>
      </c>
      <c r="M61" s="2" t="s">
        <v>4281</v>
      </c>
      <c r="N61" s="2">
        <v>2373.08</v>
      </c>
      <c r="O61" t="str">
        <f t="shared" si="0"/>
        <v>September</v>
      </c>
      <c r="P61" t="str">
        <f t="array" ref="P61">IF(COUNTIF('Cleaned Dataset'!$C$2:$C$1201,C61)&gt;1,"Yes","No")</f>
        <v>No</v>
      </c>
    </row>
    <row r="62" spans="1:16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  <c r="O62" t="str">
        <f t="shared" si="0"/>
        <v>August</v>
      </c>
      <c r="P62" t="str">
        <f t="array" ref="P62">IF(COUNTIF('Cleaned Dataset'!$C$2:$C$1201,C62)&gt;1,"Yes","No")</f>
        <v>No</v>
      </c>
    </row>
    <row r="63" spans="1:16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  <c r="O63" t="str">
        <f t="shared" si="0"/>
        <v>March</v>
      </c>
      <c r="P63" t="str">
        <f t="array" ref="P63">IF(COUNTIF('Cleaned Dataset'!$C$2:$C$1201,C63)&gt;1,"Yes","No")</f>
        <v>No</v>
      </c>
    </row>
    <row r="64" spans="1:16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  <c r="O64" t="str">
        <f t="shared" si="0"/>
        <v>August</v>
      </c>
      <c r="P64" t="str">
        <f t="array" ref="P64">IF(COUNTIF('Cleaned Dataset'!$C$2:$C$1201,C64)&gt;1,"Yes","No")</f>
        <v>No</v>
      </c>
    </row>
    <row r="65" spans="1:16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  <c r="O65" t="str">
        <f t="shared" si="0"/>
        <v>February</v>
      </c>
      <c r="P65" t="str">
        <f t="array" ref="P65">IF(COUNTIF('Cleaned Dataset'!$C$2:$C$1201,C65)&gt;1,"Yes","No")</f>
        <v>No</v>
      </c>
    </row>
    <row r="66" spans="1:16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  <c r="O66" t="str">
        <f t="shared" si="0"/>
        <v>June</v>
      </c>
      <c r="P66" t="str">
        <f t="array" ref="P66">IF(COUNTIF('Cleaned Dataset'!$C$2:$C$1201,C66)&gt;1,"Yes","No")</f>
        <v>No</v>
      </c>
    </row>
    <row r="67" spans="1:16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4320</v>
      </c>
      <c r="M67" s="2" t="s">
        <v>4278</v>
      </c>
      <c r="N67" s="2">
        <v>408.5</v>
      </c>
      <c r="O67" t="str">
        <f t="shared" ref="O67:O130" si="1">TEXT(B67,"mmmm")</f>
        <v>December</v>
      </c>
      <c r="P67" t="str">
        <f t="array" ref="P67">IF(COUNTIF('Cleaned Dataset'!$C$2:$C$1201,C67)&gt;1,"Yes","No")</f>
        <v>No</v>
      </c>
    </row>
    <row r="68" spans="1:16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  <c r="O68" t="str">
        <f t="shared" si="1"/>
        <v>November</v>
      </c>
      <c r="P68" t="str">
        <f t="array" ref="P68">IF(COUNTIF('Cleaned Dataset'!$C$2:$C$1201,C68)&gt;1,"Yes","No")</f>
        <v>No</v>
      </c>
    </row>
    <row r="69" spans="1:16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4320</v>
      </c>
      <c r="M69" s="2" t="s">
        <v>4282</v>
      </c>
      <c r="N69" s="2">
        <v>48.4</v>
      </c>
      <c r="O69" t="str">
        <f t="shared" si="1"/>
        <v>December</v>
      </c>
      <c r="P69" t="str">
        <f t="array" ref="P69">IF(COUNTIF('Cleaned Dataset'!$C$2:$C$1201,C69)&gt;1,"Yes","No")</f>
        <v>No</v>
      </c>
    </row>
    <row r="70" spans="1:16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  <c r="O70" t="str">
        <f t="shared" si="1"/>
        <v>December</v>
      </c>
      <c r="P70" t="str">
        <f t="array" ref="P70">IF(COUNTIF('Cleaned Dataset'!$C$2:$C$1201,C70)&gt;1,"Yes","No")</f>
        <v>No</v>
      </c>
    </row>
    <row r="71" spans="1:16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4320</v>
      </c>
      <c r="M71" s="2" t="s">
        <v>4279</v>
      </c>
      <c r="N71" s="2">
        <v>1435.95</v>
      </c>
      <c r="O71" t="str">
        <f t="shared" si="1"/>
        <v>May</v>
      </c>
      <c r="P71" t="str">
        <f t="array" ref="P71">IF(COUNTIF('Cleaned Dataset'!$C$2:$C$1201,C71)&gt;1,"Yes","No")</f>
        <v>No</v>
      </c>
    </row>
    <row r="72" spans="1:16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  <c r="O72" t="str">
        <f t="shared" si="1"/>
        <v>May</v>
      </c>
      <c r="P72" t="str">
        <f t="array" ref="P72">IF(COUNTIF('Cleaned Dataset'!$C$2:$C$1201,C72)&gt;1,"Yes","No")</f>
        <v>No</v>
      </c>
    </row>
    <row r="73" spans="1:16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4320</v>
      </c>
      <c r="M73" s="2" t="s">
        <v>4279</v>
      </c>
      <c r="N73" s="2">
        <v>1303.3499999999999</v>
      </c>
      <c r="O73" t="str">
        <f t="shared" si="1"/>
        <v>June</v>
      </c>
      <c r="P73" t="str">
        <f t="array" ref="P73">IF(COUNTIF('Cleaned Dataset'!$C$2:$C$1201,C73)&gt;1,"Yes","No")</f>
        <v>No</v>
      </c>
    </row>
    <row r="74" spans="1:16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4320</v>
      </c>
      <c r="M74" s="2" t="s">
        <v>4281</v>
      </c>
      <c r="N74" s="2">
        <v>2357.7600000000002</v>
      </c>
      <c r="O74" t="str">
        <f t="shared" si="1"/>
        <v>December</v>
      </c>
      <c r="P74" t="str">
        <f t="array" ref="P74">IF(COUNTIF('Cleaned Dataset'!$C$2:$C$1201,C74)&gt;1,"Yes","No")</f>
        <v>No</v>
      </c>
    </row>
    <row r="75" spans="1:16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4320</v>
      </c>
      <c r="M75" s="2" t="s">
        <v>4281</v>
      </c>
      <c r="N75" s="2">
        <v>1733.8</v>
      </c>
      <c r="O75" t="str">
        <f t="shared" si="1"/>
        <v>May</v>
      </c>
      <c r="P75" t="str">
        <f t="array" ref="P75">IF(COUNTIF('Cleaned Dataset'!$C$2:$C$1201,C75)&gt;1,"Yes","No")</f>
        <v>No</v>
      </c>
    </row>
    <row r="76" spans="1:16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4320</v>
      </c>
      <c r="M76" s="2" t="s">
        <v>4278</v>
      </c>
      <c r="N76" s="2">
        <v>454.35</v>
      </c>
      <c r="O76" t="str">
        <f t="shared" si="1"/>
        <v>June</v>
      </c>
      <c r="P76" t="str">
        <f t="array" ref="P76">IF(COUNTIF('Cleaned Dataset'!$C$2:$C$1201,C76)&gt;1,"Yes","No")</f>
        <v>No</v>
      </c>
    </row>
    <row r="77" spans="1:16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  <c r="O77" t="str">
        <f t="shared" si="1"/>
        <v>September</v>
      </c>
      <c r="P77" t="str">
        <f t="array" ref="P77">IF(COUNTIF('Cleaned Dataset'!$C$2:$C$1201,C77)&gt;1,"Yes","No")</f>
        <v>No</v>
      </c>
    </row>
    <row r="78" spans="1:16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  <c r="O78" t="str">
        <f t="shared" si="1"/>
        <v>March</v>
      </c>
      <c r="P78" t="str">
        <f t="array" ref="P78">IF(COUNTIF('Cleaned Dataset'!$C$2:$C$1201,C78)&gt;1,"Yes","No")</f>
        <v>No</v>
      </c>
    </row>
    <row r="79" spans="1:16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4320</v>
      </c>
      <c r="M79" s="2" t="s">
        <v>4282</v>
      </c>
      <c r="N79" s="2">
        <v>583.17999999999995</v>
      </c>
      <c r="O79" t="str">
        <f t="shared" si="1"/>
        <v>May</v>
      </c>
      <c r="P79" t="str">
        <f t="array" ref="P79">IF(COUNTIF('Cleaned Dataset'!$C$2:$C$1201,C79)&gt;1,"Yes","No")</f>
        <v>No</v>
      </c>
    </row>
    <row r="80" spans="1:16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  <c r="O80" t="str">
        <f t="shared" si="1"/>
        <v>August</v>
      </c>
      <c r="P80" t="str">
        <f t="array" ref="P80">IF(COUNTIF('Cleaned Dataset'!$C$2:$C$1201,C80)&gt;1,"Yes","No")</f>
        <v>No</v>
      </c>
    </row>
    <row r="81" spans="1:16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4320</v>
      </c>
      <c r="M81" s="2" t="s">
        <v>4281</v>
      </c>
      <c r="N81" s="2">
        <v>623.82000000000005</v>
      </c>
      <c r="O81" t="str">
        <f t="shared" si="1"/>
        <v>March</v>
      </c>
      <c r="P81" t="str">
        <f t="array" ref="P81">IF(COUNTIF('Cleaned Dataset'!$C$2:$C$1201,C81)&gt;1,"Yes","No")</f>
        <v>No</v>
      </c>
    </row>
    <row r="82" spans="1:16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4320</v>
      </c>
      <c r="M82" s="2" t="s">
        <v>4281</v>
      </c>
      <c r="N82" s="2">
        <v>1768.68</v>
      </c>
      <c r="O82" t="str">
        <f t="shared" si="1"/>
        <v>June</v>
      </c>
      <c r="P82" t="str">
        <f t="array" ref="P82">IF(COUNTIF('Cleaned Dataset'!$C$2:$C$1201,C82)&gt;1,"Yes","No")</f>
        <v>No</v>
      </c>
    </row>
    <row r="83" spans="1:16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  <c r="O83" t="str">
        <f t="shared" si="1"/>
        <v>June</v>
      </c>
      <c r="P83" t="str">
        <f t="array" ref="P83">IF(COUNTIF('Cleaned Dataset'!$C$2:$C$1201,C83)&gt;1,"Yes","No")</f>
        <v>No</v>
      </c>
    </row>
    <row r="84" spans="1:16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  <c r="O84" t="str">
        <f t="shared" si="1"/>
        <v>January</v>
      </c>
      <c r="P84" t="str">
        <f t="array" ref="P84">IF(COUNTIF('Cleaned Dataset'!$C$2:$C$1201,C84)&gt;1,"Yes","No")</f>
        <v>No</v>
      </c>
    </row>
    <row r="85" spans="1:16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4320</v>
      </c>
      <c r="M85" s="2" t="s">
        <v>4279</v>
      </c>
      <c r="N85" s="2">
        <v>2161.64</v>
      </c>
      <c r="O85" t="str">
        <f t="shared" si="1"/>
        <v>August</v>
      </c>
      <c r="P85" t="str">
        <f t="array" ref="P85">IF(COUNTIF('Cleaned Dataset'!$C$2:$C$1201,C85)&gt;1,"Yes","No")</f>
        <v>No</v>
      </c>
    </row>
    <row r="86" spans="1:16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  <c r="O86" t="str">
        <f t="shared" si="1"/>
        <v>August</v>
      </c>
      <c r="P86" t="str">
        <f t="array" ref="P86">IF(COUNTIF('Cleaned Dataset'!$C$2:$C$1201,C86)&gt;1,"Yes","No")</f>
        <v>No</v>
      </c>
    </row>
    <row r="87" spans="1:16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  <c r="O87" t="str">
        <f t="shared" si="1"/>
        <v>September</v>
      </c>
      <c r="P87" t="str">
        <f t="array" ref="P87">IF(COUNTIF('Cleaned Dataset'!$C$2:$C$1201,C87)&gt;1,"Yes","No")</f>
        <v>No</v>
      </c>
    </row>
    <row r="88" spans="1:16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  <c r="O88" t="str">
        <f t="shared" si="1"/>
        <v>June</v>
      </c>
      <c r="P88" t="str">
        <f t="array" ref="P88">IF(COUNTIF('Cleaned Dataset'!$C$2:$C$1201,C88)&gt;1,"Yes","No")</f>
        <v>No</v>
      </c>
    </row>
    <row r="89" spans="1:16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  <c r="O89" t="str">
        <f t="shared" si="1"/>
        <v>October</v>
      </c>
      <c r="P89" t="str">
        <f t="array" ref="P89">IF(COUNTIF('Cleaned Dataset'!$C$2:$C$1201,C89)&gt;1,"Yes","No")</f>
        <v>No</v>
      </c>
    </row>
    <row r="90" spans="1:16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4320</v>
      </c>
      <c r="M90" s="2" t="s">
        <v>4282</v>
      </c>
      <c r="N90" s="2">
        <v>344.43</v>
      </c>
      <c r="O90" t="str">
        <f t="shared" si="1"/>
        <v>June</v>
      </c>
      <c r="P90" t="str">
        <f t="array" ref="P90">IF(COUNTIF('Cleaned Dataset'!$C$2:$C$1201,C90)&gt;1,"Yes","No")</f>
        <v>No</v>
      </c>
    </row>
    <row r="91" spans="1:16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  <c r="O91" t="str">
        <f t="shared" si="1"/>
        <v>February</v>
      </c>
      <c r="P91" t="str">
        <f t="array" ref="P91">IF(COUNTIF('Cleaned Dataset'!$C$2:$C$1201,C91)&gt;1,"Yes","No")</f>
        <v>No</v>
      </c>
    </row>
    <row r="92" spans="1:16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  <c r="O92" t="str">
        <f t="shared" si="1"/>
        <v>September</v>
      </c>
      <c r="P92" t="str">
        <f t="array" ref="P92">IF(COUNTIF('Cleaned Dataset'!$C$2:$C$1201,C92)&gt;1,"Yes","No")</f>
        <v>No</v>
      </c>
    </row>
    <row r="93" spans="1:16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  <c r="O93" t="str">
        <f t="shared" si="1"/>
        <v>March</v>
      </c>
      <c r="P93" t="str">
        <f t="array" ref="P93">IF(COUNTIF('Cleaned Dataset'!$C$2:$C$1201,C93)&gt;1,"Yes","No")</f>
        <v>No</v>
      </c>
    </row>
    <row r="94" spans="1:16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  <c r="O94" t="str">
        <f t="shared" si="1"/>
        <v>June</v>
      </c>
      <c r="P94" t="str">
        <f t="array" ref="P94">IF(COUNTIF('Cleaned Dataset'!$C$2:$C$1201,C94)&gt;1,"Yes","No")</f>
        <v>No</v>
      </c>
    </row>
    <row r="95" spans="1:16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4320</v>
      </c>
      <c r="M95" s="2" t="s">
        <v>4279</v>
      </c>
      <c r="N95" s="2">
        <v>1724.04</v>
      </c>
      <c r="O95" t="str">
        <f t="shared" si="1"/>
        <v>January</v>
      </c>
      <c r="P95" t="str">
        <f t="array" ref="P95">IF(COUNTIF('Cleaned Dataset'!$C$2:$C$1201,C95)&gt;1,"Yes","No")</f>
        <v>No</v>
      </c>
    </row>
    <row r="96" spans="1:16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  <c r="O96" t="str">
        <f t="shared" si="1"/>
        <v>February</v>
      </c>
      <c r="P96" t="str">
        <f t="array" ref="P96">IF(COUNTIF('Cleaned Dataset'!$C$2:$C$1201,C96)&gt;1,"Yes","No")</f>
        <v>No</v>
      </c>
    </row>
    <row r="97" spans="1:16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4320</v>
      </c>
      <c r="M97" s="2" t="s">
        <v>4279</v>
      </c>
      <c r="N97" s="2">
        <v>470.04</v>
      </c>
      <c r="O97" t="str">
        <f t="shared" si="1"/>
        <v>March</v>
      </c>
      <c r="P97" t="str">
        <f t="array" ref="P97">IF(COUNTIF('Cleaned Dataset'!$C$2:$C$1201,C97)&gt;1,"Yes","No")</f>
        <v>No</v>
      </c>
    </row>
    <row r="98" spans="1:16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4320</v>
      </c>
      <c r="M98" s="2" t="s">
        <v>4278</v>
      </c>
      <c r="N98" s="2">
        <v>465.66</v>
      </c>
      <c r="O98" t="str">
        <f t="shared" si="1"/>
        <v>June</v>
      </c>
      <c r="P98" t="str">
        <f t="array" ref="P98">IF(COUNTIF('Cleaned Dataset'!$C$2:$C$1201,C98)&gt;1,"Yes","No")</f>
        <v>No</v>
      </c>
    </row>
    <row r="99" spans="1:16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4320</v>
      </c>
      <c r="M99" s="2" t="s">
        <v>4280</v>
      </c>
      <c r="N99" s="2">
        <v>3097.6</v>
      </c>
      <c r="O99" t="str">
        <f t="shared" si="1"/>
        <v>January</v>
      </c>
      <c r="P99" t="str">
        <f t="array" ref="P99">IF(COUNTIF('Cleaned Dataset'!$C$2:$C$1201,C99)&gt;1,"Yes","No")</f>
        <v>No</v>
      </c>
    </row>
    <row r="100" spans="1:16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4320</v>
      </c>
      <c r="M100" s="2" t="s">
        <v>4280</v>
      </c>
      <c r="N100" s="2">
        <v>457.08</v>
      </c>
      <c r="O100" t="str">
        <f t="shared" si="1"/>
        <v>January</v>
      </c>
      <c r="P100" t="str">
        <f t="array" ref="P100">IF(COUNTIF('Cleaned Dataset'!$C$2:$C$1201,C100)&gt;1,"Yes","No")</f>
        <v>No</v>
      </c>
    </row>
    <row r="101" spans="1:16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  <c r="O101" t="str">
        <f t="shared" si="1"/>
        <v>April</v>
      </c>
      <c r="P101" t="str">
        <f t="array" ref="P101">IF(COUNTIF('Cleaned Dataset'!$C$2:$C$1201,C101)&gt;1,"Yes","No")</f>
        <v>No</v>
      </c>
    </row>
    <row r="102" spans="1:16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4320</v>
      </c>
      <c r="M102" s="2" t="s">
        <v>4281</v>
      </c>
      <c r="N102" s="2">
        <v>1994.37</v>
      </c>
      <c r="O102" t="str">
        <f t="shared" si="1"/>
        <v>February</v>
      </c>
      <c r="P102" t="str">
        <f t="array" ref="P102">IF(COUNTIF('Cleaned Dataset'!$C$2:$C$1201,C102)&gt;1,"Yes","No")</f>
        <v>No</v>
      </c>
    </row>
    <row r="103" spans="1:16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4320</v>
      </c>
      <c r="M103" s="2" t="s">
        <v>4282</v>
      </c>
      <c r="N103" s="2">
        <v>381.02</v>
      </c>
      <c r="O103" t="str">
        <f t="shared" si="1"/>
        <v>November</v>
      </c>
      <c r="P103" t="str">
        <f t="array" ref="P103">IF(COUNTIF('Cleaned Dataset'!$C$2:$C$1201,C103)&gt;1,"Yes","No")</f>
        <v>No</v>
      </c>
    </row>
    <row r="104" spans="1:16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  <c r="O104" t="str">
        <f t="shared" si="1"/>
        <v>March</v>
      </c>
      <c r="P104" t="str">
        <f t="array" ref="P104">IF(COUNTIF('Cleaned Dataset'!$C$2:$C$1201,C104)&gt;1,"Yes","No")</f>
        <v>No</v>
      </c>
    </row>
    <row r="105" spans="1:16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  <c r="O105" t="str">
        <f t="shared" si="1"/>
        <v>January</v>
      </c>
      <c r="P105" t="str">
        <f t="array" ref="P105">IF(COUNTIF('Cleaned Dataset'!$C$2:$C$1201,C105)&gt;1,"Yes","No")</f>
        <v>No</v>
      </c>
    </row>
    <row r="106" spans="1:16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  <c r="O106" t="str">
        <f t="shared" si="1"/>
        <v>July</v>
      </c>
      <c r="P106" t="str">
        <f t="array" ref="P106">IF(COUNTIF('Cleaned Dataset'!$C$2:$C$1201,C106)&gt;1,"Yes","No")</f>
        <v>No</v>
      </c>
    </row>
    <row r="107" spans="1:16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4320</v>
      </c>
      <c r="M107" s="2" t="s">
        <v>4281</v>
      </c>
      <c r="N107" s="2">
        <v>556.20000000000005</v>
      </c>
      <c r="O107" t="str">
        <f t="shared" si="1"/>
        <v>October</v>
      </c>
      <c r="P107" t="str">
        <f t="array" ref="P107">IF(COUNTIF('Cleaned Dataset'!$C$2:$C$1201,C107)&gt;1,"Yes","No")</f>
        <v>No</v>
      </c>
    </row>
    <row r="108" spans="1:16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  <c r="O108" t="str">
        <f t="shared" si="1"/>
        <v>September</v>
      </c>
      <c r="P108" t="str">
        <f t="array" ref="P108">IF(COUNTIF('Cleaned Dataset'!$C$2:$C$1201,C108)&gt;1,"Yes","No")</f>
        <v>No</v>
      </c>
    </row>
    <row r="109" spans="1:16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  <c r="O109" t="str">
        <f t="shared" si="1"/>
        <v>March</v>
      </c>
      <c r="P109" t="str">
        <f t="array" ref="P109">IF(COUNTIF('Cleaned Dataset'!$C$2:$C$1201,C109)&gt;1,"Yes","No")</f>
        <v>No</v>
      </c>
    </row>
    <row r="110" spans="1:16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  <c r="O110" t="str">
        <f t="shared" si="1"/>
        <v>December</v>
      </c>
      <c r="P110" t="str">
        <f t="array" ref="P110">IF(COUNTIF('Cleaned Dataset'!$C$2:$C$1201,C110)&gt;1,"Yes","No")</f>
        <v>No</v>
      </c>
    </row>
    <row r="111" spans="1:16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  <c r="O111" t="str">
        <f t="shared" si="1"/>
        <v>September</v>
      </c>
      <c r="P111" t="str">
        <f t="array" ref="P111">IF(COUNTIF('Cleaned Dataset'!$C$2:$C$1201,C111)&gt;1,"Yes","No")</f>
        <v>No</v>
      </c>
    </row>
    <row r="112" spans="1:16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  <c r="O112" t="str">
        <f t="shared" si="1"/>
        <v>April</v>
      </c>
      <c r="P112" t="str">
        <f t="array" ref="P112">IF(COUNTIF('Cleaned Dataset'!$C$2:$C$1201,C112)&gt;1,"Yes","No")</f>
        <v>No</v>
      </c>
    </row>
    <row r="113" spans="1:16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  <c r="O113" t="str">
        <f t="shared" si="1"/>
        <v>May</v>
      </c>
      <c r="P113" t="str">
        <f t="array" ref="P113">IF(COUNTIF('Cleaned Dataset'!$C$2:$C$1201,C113)&gt;1,"Yes","No")</f>
        <v>No</v>
      </c>
    </row>
    <row r="114" spans="1:16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  <c r="O114" t="str">
        <f t="shared" si="1"/>
        <v>January</v>
      </c>
      <c r="P114" t="str">
        <f t="array" ref="P114">IF(COUNTIF('Cleaned Dataset'!$C$2:$C$1201,C114)&gt;1,"Yes","No")</f>
        <v>No</v>
      </c>
    </row>
    <row r="115" spans="1:16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  <c r="O115" t="str">
        <f t="shared" si="1"/>
        <v>January</v>
      </c>
      <c r="P115" t="str">
        <f t="array" ref="P115">IF(COUNTIF('Cleaned Dataset'!$C$2:$C$1201,C115)&gt;1,"Yes","No")</f>
        <v>No</v>
      </c>
    </row>
    <row r="116" spans="1:16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  <c r="O116" t="str">
        <f t="shared" si="1"/>
        <v>January</v>
      </c>
      <c r="P116" t="str">
        <f t="array" ref="P116">IF(COUNTIF('Cleaned Dataset'!$C$2:$C$1201,C116)&gt;1,"Yes","No")</f>
        <v>No</v>
      </c>
    </row>
    <row r="117" spans="1:16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  <c r="O117" t="str">
        <f t="shared" si="1"/>
        <v>November</v>
      </c>
      <c r="P117" t="str">
        <f t="array" ref="P117">IF(COUNTIF('Cleaned Dataset'!$C$2:$C$1201,C117)&gt;1,"Yes","No")</f>
        <v>No</v>
      </c>
    </row>
    <row r="118" spans="1:16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  <c r="O118" t="str">
        <f t="shared" si="1"/>
        <v>March</v>
      </c>
      <c r="P118" t="str">
        <f t="array" ref="P118">IF(COUNTIF('Cleaned Dataset'!$C$2:$C$1201,C118)&gt;1,"Yes","No")</f>
        <v>No</v>
      </c>
    </row>
    <row r="119" spans="1:16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  <c r="O119" t="str">
        <f t="shared" si="1"/>
        <v>March</v>
      </c>
      <c r="P119" t="str">
        <f t="array" ref="P119">IF(COUNTIF('Cleaned Dataset'!$C$2:$C$1201,C119)&gt;1,"Yes","No")</f>
        <v>No</v>
      </c>
    </row>
    <row r="120" spans="1:16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  <c r="O120" t="str">
        <f t="shared" si="1"/>
        <v>October</v>
      </c>
      <c r="P120" t="str">
        <f t="array" ref="P120">IF(COUNTIF('Cleaned Dataset'!$C$2:$C$1201,C120)&gt;1,"Yes","No")</f>
        <v>No</v>
      </c>
    </row>
    <row r="121" spans="1:16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  <c r="O121" t="str">
        <f t="shared" si="1"/>
        <v>June</v>
      </c>
      <c r="P121" t="str">
        <f t="array" ref="P121">IF(COUNTIF('Cleaned Dataset'!$C$2:$C$1201,C121)&gt;1,"Yes","No")</f>
        <v>No</v>
      </c>
    </row>
    <row r="122" spans="1:16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  <c r="O122" t="str">
        <f t="shared" si="1"/>
        <v>April</v>
      </c>
      <c r="P122" t="str">
        <f t="array" ref="P122">IF(COUNTIF('Cleaned Dataset'!$C$2:$C$1201,C122)&gt;1,"Yes","No")</f>
        <v>No</v>
      </c>
    </row>
    <row r="123" spans="1:16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  <c r="O123" t="str">
        <f t="shared" si="1"/>
        <v>November</v>
      </c>
      <c r="P123" t="str">
        <f t="array" ref="P123">IF(COUNTIF('Cleaned Dataset'!$C$2:$C$1201,C123)&gt;1,"Yes","No")</f>
        <v>No</v>
      </c>
    </row>
    <row r="124" spans="1:16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4320</v>
      </c>
      <c r="M124" s="2" t="s">
        <v>4281</v>
      </c>
      <c r="N124" s="2">
        <v>1066.04</v>
      </c>
      <c r="O124" t="str">
        <f t="shared" si="1"/>
        <v>April</v>
      </c>
      <c r="P124" t="str">
        <f t="array" ref="P124">IF(COUNTIF('Cleaned Dataset'!$C$2:$C$1201,C124)&gt;1,"Yes","No")</f>
        <v>No</v>
      </c>
    </row>
    <row r="125" spans="1:16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4320</v>
      </c>
      <c r="M125" s="2" t="s">
        <v>4278</v>
      </c>
      <c r="N125" s="2">
        <v>834.12000000000012</v>
      </c>
      <c r="O125" t="str">
        <f t="shared" si="1"/>
        <v>July</v>
      </c>
      <c r="P125" t="str">
        <f t="array" ref="P125">IF(COUNTIF('Cleaned Dataset'!$C$2:$C$1201,C125)&gt;1,"Yes","No")</f>
        <v>No</v>
      </c>
    </row>
    <row r="126" spans="1:16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4320</v>
      </c>
      <c r="M126" s="2" t="s">
        <v>4282</v>
      </c>
      <c r="N126" s="2">
        <v>1135.1600000000001</v>
      </c>
      <c r="O126" t="str">
        <f t="shared" si="1"/>
        <v>July</v>
      </c>
      <c r="P126" t="str">
        <f t="array" ref="P126">IF(COUNTIF('Cleaned Dataset'!$C$2:$C$1201,C126)&gt;1,"Yes","No")</f>
        <v>No</v>
      </c>
    </row>
    <row r="127" spans="1:16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  <c r="O127" t="str">
        <f t="shared" si="1"/>
        <v>November</v>
      </c>
      <c r="P127" t="str">
        <f t="array" ref="P127">IF(COUNTIF('Cleaned Dataset'!$C$2:$C$1201,C127)&gt;1,"Yes","No")</f>
        <v>No</v>
      </c>
    </row>
    <row r="128" spans="1:16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  <c r="O128" t="str">
        <f t="shared" si="1"/>
        <v>May</v>
      </c>
      <c r="P128" t="str">
        <f t="array" ref="P128">IF(COUNTIF('Cleaned Dataset'!$C$2:$C$1201,C128)&gt;1,"Yes","No")</f>
        <v>No</v>
      </c>
    </row>
    <row r="129" spans="1:16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4320</v>
      </c>
      <c r="M129" s="2" t="s">
        <v>4282</v>
      </c>
      <c r="N129" s="2">
        <v>1407.96</v>
      </c>
      <c r="O129" t="str">
        <f t="shared" si="1"/>
        <v>August</v>
      </c>
      <c r="P129" t="str">
        <f t="array" ref="P129">IF(COUNTIF('Cleaned Dataset'!$C$2:$C$1201,C129)&gt;1,"Yes","No")</f>
        <v>No</v>
      </c>
    </row>
    <row r="130" spans="1:16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  <c r="O130" t="str">
        <f t="shared" si="1"/>
        <v>February</v>
      </c>
      <c r="P130" t="str">
        <f t="array" ref="P130">IF(COUNTIF('Cleaned Dataset'!$C$2:$C$1201,C130)&gt;1,"Yes","No")</f>
        <v>No</v>
      </c>
    </row>
    <row r="131" spans="1:16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  <c r="O131" t="str">
        <f t="shared" ref="O131:O194" si="2">TEXT(B131,"mmmm")</f>
        <v>October</v>
      </c>
      <c r="P131" t="str">
        <f t="array" ref="P131">IF(COUNTIF('Cleaned Dataset'!$C$2:$C$1201,C131)&gt;1,"Yes","No")</f>
        <v>No</v>
      </c>
    </row>
    <row r="132" spans="1:16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  <c r="O132" t="str">
        <f t="shared" si="2"/>
        <v>January</v>
      </c>
      <c r="P132" t="str">
        <f t="array" ref="P132">IF(COUNTIF('Cleaned Dataset'!$C$2:$C$1201,C132)&gt;1,"Yes","No")</f>
        <v>No</v>
      </c>
    </row>
    <row r="133" spans="1:16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4320</v>
      </c>
      <c r="M133" s="2" t="s">
        <v>4278</v>
      </c>
      <c r="N133" s="2">
        <v>84.8</v>
      </c>
      <c r="O133" t="str">
        <f t="shared" si="2"/>
        <v>January</v>
      </c>
      <c r="P133" t="str">
        <f t="array" ref="P133">IF(COUNTIF('Cleaned Dataset'!$C$2:$C$1201,C133)&gt;1,"Yes","No")</f>
        <v>No</v>
      </c>
    </row>
    <row r="134" spans="1:16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  <c r="O134" t="str">
        <f t="shared" si="2"/>
        <v>March</v>
      </c>
      <c r="P134" t="str">
        <f t="array" ref="P134">IF(COUNTIF('Cleaned Dataset'!$C$2:$C$1201,C134)&gt;1,"Yes","No")</f>
        <v>No</v>
      </c>
    </row>
    <row r="135" spans="1:16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  <c r="O135" t="str">
        <f t="shared" si="2"/>
        <v>June</v>
      </c>
      <c r="P135" t="str">
        <f t="array" ref="P135">IF(COUNTIF('Cleaned Dataset'!$C$2:$C$1201,C135)&gt;1,"Yes","No")</f>
        <v>No</v>
      </c>
    </row>
    <row r="136" spans="1:16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4320</v>
      </c>
      <c r="M136" s="2" t="s">
        <v>4280</v>
      </c>
      <c r="N136" s="2">
        <v>399.4</v>
      </c>
      <c r="O136" t="str">
        <f t="shared" si="2"/>
        <v>June</v>
      </c>
      <c r="P136" t="str">
        <f t="array" ref="P136">IF(COUNTIF('Cleaned Dataset'!$C$2:$C$1201,C136)&gt;1,"Yes","No")</f>
        <v>No</v>
      </c>
    </row>
    <row r="137" spans="1:16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  <c r="O137" t="str">
        <f t="shared" si="2"/>
        <v>August</v>
      </c>
      <c r="P137" t="str">
        <f t="array" ref="P137">IF(COUNTIF('Cleaned Dataset'!$C$2:$C$1201,C137)&gt;1,"Yes","No")</f>
        <v>No</v>
      </c>
    </row>
    <row r="138" spans="1:16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  <c r="O138" t="str">
        <f t="shared" si="2"/>
        <v>April</v>
      </c>
      <c r="P138" t="str">
        <f t="array" ref="P138">IF(COUNTIF('Cleaned Dataset'!$C$2:$C$1201,C138)&gt;1,"Yes","No")</f>
        <v>No</v>
      </c>
    </row>
    <row r="139" spans="1:16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4320</v>
      </c>
      <c r="M139" s="2" t="s">
        <v>4282</v>
      </c>
      <c r="N139" s="2">
        <v>501.96</v>
      </c>
      <c r="O139" t="str">
        <f t="shared" si="2"/>
        <v>November</v>
      </c>
      <c r="P139" t="str">
        <f t="array" ref="P139">IF(COUNTIF('Cleaned Dataset'!$C$2:$C$1201,C139)&gt;1,"Yes","No")</f>
        <v>No</v>
      </c>
    </row>
    <row r="140" spans="1:16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  <c r="O140" t="str">
        <f t="shared" si="2"/>
        <v>December</v>
      </c>
      <c r="P140" t="str">
        <f t="array" ref="P140">IF(COUNTIF('Cleaned Dataset'!$C$2:$C$1201,C140)&gt;1,"Yes","No")</f>
        <v>No</v>
      </c>
    </row>
    <row r="141" spans="1:16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4320</v>
      </c>
      <c r="M141" s="2" t="s">
        <v>4280</v>
      </c>
      <c r="N141" s="2">
        <v>583.9</v>
      </c>
      <c r="O141" t="str">
        <f t="shared" si="2"/>
        <v>April</v>
      </c>
      <c r="P141" t="str">
        <f t="array" ref="P141">IF(COUNTIF('Cleaned Dataset'!$C$2:$C$1201,C141)&gt;1,"Yes","No")</f>
        <v>No</v>
      </c>
    </row>
    <row r="142" spans="1:16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  <c r="O142" t="str">
        <f t="shared" si="2"/>
        <v>May</v>
      </c>
      <c r="P142" t="str">
        <f t="array" ref="P142">IF(COUNTIF('Cleaned Dataset'!$C$2:$C$1201,C142)&gt;1,"Yes","No")</f>
        <v>No</v>
      </c>
    </row>
    <row r="143" spans="1:16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  <c r="O143" t="str">
        <f t="shared" si="2"/>
        <v>November</v>
      </c>
      <c r="P143" t="str">
        <f t="array" ref="P143">IF(COUNTIF('Cleaned Dataset'!$C$2:$C$1201,C143)&gt;1,"Yes","No")</f>
        <v>No</v>
      </c>
    </row>
    <row r="144" spans="1:16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  <c r="O144" t="str">
        <f t="shared" si="2"/>
        <v>September</v>
      </c>
      <c r="P144" t="str">
        <f t="array" ref="P144">IF(COUNTIF('Cleaned Dataset'!$C$2:$C$1201,C144)&gt;1,"Yes","No")</f>
        <v>No</v>
      </c>
    </row>
    <row r="145" spans="1:16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4320</v>
      </c>
      <c r="M145" s="2" t="s">
        <v>4279</v>
      </c>
      <c r="N145" s="2">
        <v>1600.28</v>
      </c>
      <c r="O145" t="str">
        <f t="shared" si="2"/>
        <v>June</v>
      </c>
      <c r="P145" t="str">
        <f t="array" ref="P145">IF(COUNTIF('Cleaned Dataset'!$C$2:$C$1201,C145)&gt;1,"Yes","No")</f>
        <v>No</v>
      </c>
    </row>
    <row r="146" spans="1:16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4320</v>
      </c>
      <c r="M146" s="2" t="s">
        <v>4281</v>
      </c>
      <c r="N146" s="2">
        <v>1098.9000000000001</v>
      </c>
      <c r="O146" t="str">
        <f t="shared" si="2"/>
        <v>August</v>
      </c>
      <c r="P146" t="str">
        <f t="array" ref="P146">IF(COUNTIF('Cleaned Dataset'!$C$2:$C$1201,C146)&gt;1,"Yes","No")</f>
        <v>No</v>
      </c>
    </row>
    <row r="147" spans="1:16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  <c r="O147" t="str">
        <f t="shared" si="2"/>
        <v>March</v>
      </c>
      <c r="P147" t="str">
        <f t="array" ref="P147">IF(COUNTIF('Cleaned Dataset'!$C$2:$C$1201,C147)&gt;1,"Yes","No")</f>
        <v>No</v>
      </c>
    </row>
    <row r="148" spans="1:16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4320</v>
      </c>
      <c r="M148" s="2" t="s">
        <v>4278</v>
      </c>
      <c r="N148" s="2">
        <v>822.98</v>
      </c>
      <c r="O148" t="str">
        <f t="shared" si="2"/>
        <v>April</v>
      </c>
      <c r="P148" t="str">
        <f t="array" ref="P148">IF(COUNTIF('Cleaned Dataset'!$C$2:$C$1201,C148)&gt;1,"Yes","No")</f>
        <v>No</v>
      </c>
    </row>
    <row r="149" spans="1:16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  <c r="O149" t="str">
        <f t="shared" si="2"/>
        <v>May</v>
      </c>
      <c r="P149" t="str">
        <f t="array" ref="P149">IF(COUNTIF('Cleaned Dataset'!$C$2:$C$1201,C149)&gt;1,"Yes","No")</f>
        <v>No</v>
      </c>
    </row>
    <row r="150" spans="1:16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  <c r="O150" t="str">
        <f t="shared" si="2"/>
        <v>December</v>
      </c>
      <c r="P150" t="str">
        <f t="array" ref="P150">IF(COUNTIF('Cleaned Dataset'!$C$2:$C$1201,C150)&gt;1,"Yes","No")</f>
        <v>No</v>
      </c>
    </row>
    <row r="151" spans="1:16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4320</v>
      </c>
      <c r="M151" s="2" t="s">
        <v>4281</v>
      </c>
      <c r="N151" s="2">
        <v>217.56</v>
      </c>
      <c r="O151" t="str">
        <f t="shared" si="2"/>
        <v>December</v>
      </c>
      <c r="P151" t="str">
        <f t="array" ref="P151">IF(COUNTIF('Cleaned Dataset'!$C$2:$C$1201,C151)&gt;1,"Yes","No")</f>
        <v>No</v>
      </c>
    </row>
    <row r="152" spans="1:16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  <c r="O152" t="str">
        <f t="shared" si="2"/>
        <v>December</v>
      </c>
      <c r="P152" t="str">
        <f t="array" ref="P152">IF(COUNTIF('Cleaned Dataset'!$C$2:$C$1201,C152)&gt;1,"Yes","No")</f>
        <v>No</v>
      </c>
    </row>
    <row r="153" spans="1:16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4320</v>
      </c>
      <c r="M153" s="2" t="s">
        <v>4280</v>
      </c>
      <c r="N153" s="2">
        <v>2223.8000000000002</v>
      </c>
      <c r="O153" t="str">
        <f t="shared" si="2"/>
        <v>December</v>
      </c>
      <c r="P153" t="str">
        <f t="array" ref="P153">IF(COUNTIF('Cleaned Dataset'!$C$2:$C$1201,C153)&gt;1,"Yes","No")</f>
        <v>No</v>
      </c>
    </row>
    <row r="154" spans="1:16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  <c r="O154" t="str">
        <f t="shared" si="2"/>
        <v>January</v>
      </c>
      <c r="P154" t="str">
        <f t="array" ref="P154">IF(COUNTIF('Cleaned Dataset'!$C$2:$C$1201,C154)&gt;1,"Yes","No")</f>
        <v>No</v>
      </c>
    </row>
    <row r="155" spans="1:16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  <c r="O155" t="str">
        <f t="shared" si="2"/>
        <v>December</v>
      </c>
      <c r="P155" t="str">
        <f t="array" ref="P155">IF(COUNTIF('Cleaned Dataset'!$C$2:$C$1201,C155)&gt;1,"Yes","No")</f>
        <v>No</v>
      </c>
    </row>
    <row r="156" spans="1:16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4320</v>
      </c>
      <c r="M156" s="2" t="s">
        <v>4278</v>
      </c>
      <c r="N156" s="2">
        <v>1632.84</v>
      </c>
      <c r="O156" t="str">
        <f t="shared" si="2"/>
        <v>July</v>
      </c>
      <c r="P156" t="str">
        <f t="array" ref="P156">IF(COUNTIF('Cleaned Dataset'!$C$2:$C$1201,C156)&gt;1,"Yes","No")</f>
        <v>No</v>
      </c>
    </row>
    <row r="157" spans="1:16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  <c r="O157" t="str">
        <f t="shared" si="2"/>
        <v>February</v>
      </c>
      <c r="P157" t="str">
        <f t="array" ref="P157">IF(COUNTIF('Cleaned Dataset'!$C$2:$C$1201,C157)&gt;1,"Yes","No")</f>
        <v>No</v>
      </c>
    </row>
    <row r="158" spans="1:16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  <c r="O158" t="str">
        <f t="shared" si="2"/>
        <v>November</v>
      </c>
      <c r="P158" t="str">
        <f t="array" ref="P158">IF(COUNTIF('Cleaned Dataset'!$C$2:$C$1201,C158)&gt;1,"Yes","No")</f>
        <v>No</v>
      </c>
    </row>
    <row r="159" spans="1:16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  <c r="O159" t="str">
        <f t="shared" si="2"/>
        <v>February</v>
      </c>
      <c r="P159" t="str">
        <f t="array" ref="P159">IF(COUNTIF('Cleaned Dataset'!$C$2:$C$1201,C159)&gt;1,"Yes","No")</f>
        <v>No</v>
      </c>
    </row>
    <row r="160" spans="1:16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  <c r="O160" t="str">
        <f t="shared" si="2"/>
        <v>May</v>
      </c>
      <c r="P160" t="str">
        <f t="array" ref="P160">IF(COUNTIF('Cleaned Dataset'!$C$2:$C$1201,C160)&gt;1,"Yes","No")</f>
        <v>No</v>
      </c>
    </row>
    <row r="161" spans="1:16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  <c r="O161" t="str">
        <f t="shared" si="2"/>
        <v>October</v>
      </c>
      <c r="P161" t="str">
        <f t="array" ref="P161">IF(COUNTIF('Cleaned Dataset'!$C$2:$C$1201,C161)&gt;1,"Yes","No")</f>
        <v>No</v>
      </c>
    </row>
    <row r="162" spans="1:16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4320</v>
      </c>
      <c r="M162" s="2" t="s">
        <v>4279</v>
      </c>
      <c r="N162" s="2">
        <v>405.28</v>
      </c>
      <c r="O162" t="str">
        <f t="shared" si="2"/>
        <v>February</v>
      </c>
      <c r="P162" t="str">
        <f t="array" ref="P162">IF(COUNTIF('Cleaned Dataset'!$C$2:$C$1201,C162)&gt;1,"Yes","No")</f>
        <v>No</v>
      </c>
    </row>
    <row r="163" spans="1:16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  <c r="O163" t="str">
        <f t="shared" si="2"/>
        <v>March</v>
      </c>
      <c r="P163" t="str">
        <f t="array" ref="P163">IF(COUNTIF('Cleaned Dataset'!$C$2:$C$1201,C163)&gt;1,"Yes","No")</f>
        <v>No</v>
      </c>
    </row>
    <row r="164" spans="1:16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  <c r="O164" t="str">
        <f t="shared" si="2"/>
        <v>July</v>
      </c>
      <c r="P164" t="str">
        <f t="array" ref="P164">IF(COUNTIF('Cleaned Dataset'!$C$2:$C$1201,C164)&gt;1,"Yes","No")</f>
        <v>No</v>
      </c>
    </row>
    <row r="165" spans="1:16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4320</v>
      </c>
      <c r="M165" s="2" t="s">
        <v>4279</v>
      </c>
      <c r="N165" s="2">
        <v>641.39</v>
      </c>
      <c r="O165" t="str">
        <f t="shared" si="2"/>
        <v>June</v>
      </c>
      <c r="P165" t="str">
        <f t="array" ref="P165">IF(COUNTIF('Cleaned Dataset'!$C$2:$C$1201,C165)&gt;1,"Yes","No")</f>
        <v>No</v>
      </c>
    </row>
    <row r="166" spans="1:16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  <c r="O166" t="str">
        <f t="shared" si="2"/>
        <v>December</v>
      </c>
      <c r="P166" t="str">
        <f t="array" ref="P166">IF(COUNTIF('Cleaned Dataset'!$C$2:$C$1201,C166)&gt;1,"Yes","No")</f>
        <v>No</v>
      </c>
    </row>
    <row r="167" spans="1:16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  <c r="O167" t="str">
        <f t="shared" si="2"/>
        <v>September</v>
      </c>
      <c r="P167" t="str">
        <f t="array" ref="P167">IF(COUNTIF('Cleaned Dataset'!$C$2:$C$1201,C167)&gt;1,"Yes","No")</f>
        <v>No</v>
      </c>
    </row>
    <row r="168" spans="1:16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  <c r="O168" t="str">
        <f t="shared" si="2"/>
        <v>March</v>
      </c>
      <c r="P168" t="str">
        <f t="array" ref="P168">IF(COUNTIF('Cleaned Dataset'!$C$2:$C$1201,C168)&gt;1,"Yes","No")</f>
        <v>No</v>
      </c>
    </row>
    <row r="169" spans="1:16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  <c r="O169" t="str">
        <f t="shared" si="2"/>
        <v>May</v>
      </c>
      <c r="P169" t="str">
        <f t="array" ref="P169">IF(COUNTIF('Cleaned Dataset'!$C$2:$C$1201,C169)&gt;1,"Yes","No")</f>
        <v>No</v>
      </c>
    </row>
    <row r="170" spans="1:16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4320</v>
      </c>
      <c r="M170" s="2" t="s">
        <v>4281</v>
      </c>
      <c r="N170" s="2">
        <v>594.96</v>
      </c>
      <c r="O170" t="str">
        <f t="shared" si="2"/>
        <v>January</v>
      </c>
      <c r="P170" t="str">
        <f t="array" ref="P170">IF(COUNTIF('Cleaned Dataset'!$C$2:$C$1201,C170)&gt;1,"Yes","No")</f>
        <v>No</v>
      </c>
    </row>
    <row r="171" spans="1:16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  <c r="O171" t="str">
        <f t="shared" si="2"/>
        <v>April</v>
      </c>
      <c r="P171" t="str">
        <f t="array" ref="P171">IF(COUNTIF('Cleaned Dataset'!$C$2:$C$1201,C171)&gt;1,"Yes","No")</f>
        <v>No</v>
      </c>
    </row>
    <row r="172" spans="1:16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  <c r="O172" t="str">
        <f t="shared" si="2"/>
        <v>April</v>
      </c>
      <c r="P172" t="str">
        <f t="array" ref="P172">IF(COUNTIF('Cleaned Dataset'!$C$2:$C$1201,C172)&gt;1,"Yes","No")</f>
        <v>No</v>
      </c>
    </row>
    <row r="173" spans="1:16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  <c r="O173" t="str">
        <f t="shared" si="2"/>
        <v>August</v>
      </c>
      <c r="P173" t="str">
        <f t="array" ref="P173">IF(COUNTIF('Cleaned Dataset'!$C$2:$C$1201,C173)&gt;1,"Yes","No")</f>
        <v>No</v>
      </c>
    </row>
    <row r="174" spans="1:16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  <c r="O174" t="str">
        <f t="shared" si="2"/>
        <v>April</v>
      </c>
      <c r="P174" t="str">
        <f t="array" ref="P174">IF(COUNTIF('Cleaned Dataset'!$C$2:$C$1201,C174)&gt;1,"Yes","No")</f>
        <v>No</v>
      </c>
    </row>
    <row r="175" spans="1:16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  <c r="O175" t="str">
        <f t="shared" si="2"/>
        <v>March</v>
      </c>
      <c r="P175" t="str">
        <f t="array" ref="P175">IF(COUNTIF('Cleaned Dataset'!$C$2:$C$1201,C175)&gt;1,"Yes","No")</f>
        <v>No</v>
      </c>
    </row>
    <row r="176" spans="1:16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  <c r="O176" t="str">
        <f t="shared" si="2"/>
        <v>April</v>
      </c>
      <c r="P176" t="str">
        <f t="array" ref="P176">IF(COUNTIF('Cleaned Dataset'!$C$2:$C$1201,C176)&gt;1,"Yes","No")</f>
        <v>No</v>
      </c>
    </row>
    <row r="177" spans="1:16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  <c r="O177" t="str">
        <f t="shared" si="2"/>
        <v>February</v>
      </c>
      <c r="P177" t="str">
        <f t="array" ref="P177">IF(COUNTIF('Cleaned Dataset'!$C$2:$C$1201,C177)&gt;1,"Yes","No")</f>
        <v>No</v>
      </c>
    </row>
    <row r="178" spans="1:16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  <c r="O178" t="str">
        <f t="shared" si="2"/>
        <v>June</v>
      </c>
      <c r="P178" t="str">
        <f t="array" ref="P178">IF(COUNTIF('Cleaned Dataset'!$C$2:$C$1201,C178)&gt;1,"Yes","No")</f>
        <v>No</v>
      </c>
    </row>
    <row r="179" spans="1:16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4320</v>
      </c>
      <c r="M179" s="2" t="s">
        <v>4281</v>
      </c>
      <c r="N179" s="2">
        <v>2158.4499999999998</v>
      </c>
      <c r="O179" t="str">
        <f t="shared" si="2"/>
        <v>August</v>
      </c>
      <c r="P179" t="str">
        <f t="array" ref="P179">IF(COUNTIF('Cleaned Dataset'!$C$2:$C$1201,C179)&gt;1,"Yes","No")</f>
        <v>No</v>
      </c>
    </row>
    <row r="180" spans="1:16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  <c r="O180" t="str">
        <f t="shared" si="2"/>
        <v>April</v>
      </c>
      <c r="P180" t="str">
        <f t="array" ref="P180">IF(COUNTIF('Cleaned Dataset'!$C$2:$C$1201,C180)&gt;1,"Yes","No")</f>
        <v>No</v>
      </c>
    </row>
    <row r="181" spans="1:16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4320</v>
      </c>
      <c r="M181" s="2" t="s">
        <v>4280</v>
      </c>
      <c r="N181" s="2">
        <v>1619.73</v>
      </c>
      <c r="O181" t="str">
        <f t="shared" si="2"/>
        <v>November</v>
      </c>
      <c r="P181" t="str">
        <f t="array" ref="P181">IF(COUNTIF('Cleaned Dataset'!$C$2:$C$1201,C181)&gt;1,"Yes","No")</f>
        <v>No</v>
      </c>
    </row>
    <row r="182" spans="1:16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4320</v>
      </c>
      <c r="M182" s="2" t="s">
        <v>4282</v>
      </c>
      <c r="N182" s="2">
        <v>1580.35</v>
      </c>
      <c r="O182" t="str">
        <f t="shared" si="2"/>
        <v>March</v>
      </c>
      <c r="P182" t="str">
        <f t="array" ref="P182">IF(COUNTIF('Cleaned Dataset'!$C$2:$C$1201,C182)&gt;1,"Yes","No")</f>
        <v>No</v>
      </c>
    </row>
    <row r="183" spans="1:16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4320</v>
      </c>
      <c r="M183" s="2" t="s">
        <v>4279</v>
      </c>
      <c r="N183" s="2">
        <v>2021.95</v>
      </c>
      <c r="O183" t="str">
        <f t="shared" si="2"/>
        <v>August</v>
      </c>
      <c r="P183" t="str">
        <f t="array" ref="P183">IF(COUNTIF('Cleaned Dataset'!$C$2:$C$1201,C183)&gt;1,"Yes","No")</f>
        <v>No</v>
      </c>
    </row>
    <row r="184" spans="1:16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  <c r="O184" t="str">
        <f t="shared" si="2"/>
        <v>March</v>
      </c>
      <c r="P184" t="str">
        <f t="array" ref="P184">IF(COUNTIF('Cleaned Dataset'!$C$2:$C$1201,C184)&gt;1,"Yes","No")</f>
        <v>No</v>
      </c>
    </row>
    <row r="185" spans="1:16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  <c r="O185" t="str">
        <f t="shared" si="2"/>
        <v>April</v>
      </c>
      <c r="P185" t="str">
        <f t="array" ref="P185">IF(COUNTIF('Cleaned Dataset'!$C$2:$C$1201,C185)&gt;1,"Yes","No")</f>
        <v>No</v>
      </c>
    </row>
    <row r="186" spans="1:16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4320</v>
      </c>
      <c r="M186" s="2" t="s">
        <v>4279</v>
      </c>
      <c r="N186" s="2">
        <v>858.16</v>
      </c>
      <c r="O186" t="str">
        <f t="shared" si="2"/>
        <v>April</v>
      </c>
      <c r="P186" t="str">
        <f t="array" ref="P186">IF(COUNTIF('Cleaned Dataset'!$C$2:$C$1201,C186)&gt;1,"Yes","No")</f>
        <v>No</v>
      </c>
    </row>
    <row r="187" spans="1:16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  <c r="O187" t="str">
        <f t="shared" si="2"/>
        <v>February</v>
      </c>
      <c r="P187" t="str">
        <f t="array" ref="P187">IF(COUNTIF('Cleaned Dataset'!$C$2:$C$1201,C187)&gt;1,"Yes","No")</f>
        <v>No</v>
      </c>
    </row>
    <row r="188" spans="1:16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  <c r="O188" t="str">
        <f t="shared" si="2"/>
        <v>December</v>
      </c>
      <c r="P188" t="str">
        <f t="array" ref="P188">IF(COUNTIF('Cleaned Dataset'!$C$2:$C$1201,C188)&gt;1,"Yes","No")</f>
        <v>No</v>
      </c>
    </row>
    <row r="189" spans="1:16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  <c r="O189" t="str">
        <f t="shared" si="2"/>
        <v>February</v>
      </c>
      <c r="P189" t="str">
        <f t="array" ref="P189">IF(COUNTIF('Cleaned Dataset'!$C$2:$C$1201,C189)&gt;1,"Yes","No")</f>
        <v>No</v>
      </c>
    </row>
    <row r="190" spans="1:16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  <c r="O190" t="str">
        <f t="shared" si="2"/>
        <v>March</v>
      </c>
      <c r="P190" t="str">
        <f t="array" ref="P190">IF(COUNTIF('Cleaned Dataset'!$C$2:$C$1201,C190)&gt;1,"Yes","No")</f>
        <v>No</v>
      </c>
    </row>
    <row r="191" spans="1:16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  <c r="O191" t="str">
        <f t="shared" si="2"/>
        <v>July</v>
      </c>
      <c r="P191" t="str">
        <f t="array" ref="P191">IF(COUNTIF('Cleaned Dataset'!$C$2:$C$1201,C191)&gt;1,"Yes","No")</f>
        <v>No</v>
      </c>
    </row>
    <row r="192" spans="1:16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  <c r="O192" t="str">
        <f t="shared" si="2"/>
        <v>August</v>
      </c>
      <c r="P192" t="str">
        <f t="array" ref="P192">IF(COUNTIF('Cleaned Dataset'!$C$2:$C$1201,C192)&gt;1,"Yes","No")</f>
        <v>No</v>
      </c>
    </row>
    <row r="193" spans="1:16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  <c r="O193" t="str">
        <f t="shared" si="2"/>
        <v>March</v>
      </c>
      <c r="P193" t="str">
        <f t="array" ref="P193">IF(COUNTIF('Cleaned Dataset'!$C$2:$C$1201,C193)&gt;1,"Yes","No")</f>
        <v>No</v>
      </c>
    </row>
    <row r="194" spans="1:16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  <c r="O194" t="str">
        <f t="shared" si="2"/>
        <v>August</v>
      </c>
      <c r="P194" t="str">
        <f t="array" ref="P194">IF(COUNTIF('Cleaned Dataset'!$C$2:$C$1201,C194)&gt;1,"Yes","No")</f>
        <v>No</v>
      </c>
    </row>
    <row r="195" spans="1:16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4320</v>
      </c>
      <c r="M195" s="2" t="s">
        <v>4282</v>
      </c>
      <c r="N195" s="2">
        <v>46.66</v>
      </c>
      <c r="O195" t="str">
        <f t="shared" ref="O195:O258" si="3">TEXT(B195,"mmmm")</f>
        <v>July</v>
      </c>
      <c r="P195" t="str">
        <f t="array" ref="P195">IF(COUNTIF('Cleaned Dataset'!$C$2:$C$1201,C195)&gt;1,"Yes","No")</f>
        <v>No</v>
      </c>
    </row>
    <row r="196" spans="1:16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  <c r="O196" t="str">
        <f t="shared" si="3"/>
        <v>June</v>
      </c>
      <c r="P196" t="str">
        <f t="array" ref="P196">IF(COUNTIF('Cleaned Dataset'!$C$2:$C$1201,C196)&gt;1,"Yes","No")</f>
        <v>No</v>
      </c>
    </row>
    <row r="197" spans="1:16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4320</v>
      </c>
      <c r="M197" s="2" t="s">
        <v>4280</v>
      </c>
      <c r="N197" s="2">
        <v>1857.63</v>
      </c>
      <c r="O197" t="str">
        <f t="shared" si="3"/>
        <v>April</v>
      </c>
      <c r="P197" t="str">
        <f t="array" ref="P197">IF(COUNTIF('Cleaned Dataset'!$C$2:$C$1201,C197)&gt;1,"Yes","No")</f>
        <v>No</v>
      </c>
    </row>
    <row r="198" spans="1:16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  <c r="O198" t="str">
        <f t="shared" si="3"/>
        <v>January</v>
      </c>
      <c r="P198" t="str">
        <f t="array" ref="P198">IF(COUNTIF('Cleaned Dataset'!$C$2:$C$1201,C198)&gt;1,"Yes","No")</f>
        <v>No</v>
      </c>
    </row>
    <row r="199" spans="1:16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  <c r="O199" t="str">
        <f t="shared" si="3"/>
        <v>August</v>
      </c>
      <c r="P199" t="str">
        <f t="array" ref="P199">IF(COUNTIF('Cleaned Dataset'!$C$2:$C$1201,C199)&gt;1,"Yes","No")</f>
        <v>No</v>
      </c>
    </row>
    <row r="200" spans="1:16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  <c r="O200" t="str">
        <f t="shared" si="3"/>
        <v>June</v>
      </c>
      <c r="P200" t="str">
        <f t="array" ref="P200">IF(COUNTIF('Cleaned Dataset'!$C$2:$C$1201,C200)&gt;1,"Yes","No")</f>
        <v>No</v>
      </c>
    </row>
    <row r="201" spans="1:16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  <c r="O201" t="str">
        <f t="shared" si="3"/>
        <v>January</v>
      </c>
      <c r="P201" t="str">
        <f t="array" ref="P201">IF(COUNTIF('Cleaned Dataset'!$C$2:$C$1201,C201)&gt;1,"Yes","No")</f>
        <v>No</v>
      </c>
    </row>
    <row r="202" spans="1:16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  <c r="O202" t="str">
        <f t="shared" si="3"/>
        <v>June</v>
      </c>
      <c r="P202" t="str">
        <f t="array" ref="P202">IF(COUNTIF('Cleaned Dataset'!$C$2:$C$1201,C202)&gt;1,"Yes","No")</f>
        <v>No</v>
      </c>
    </row>
    <row r="203" spans="1:16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  <c r="O203" t="str">
        <f t="shared" si="3"/>
        <v>June</v>
      </c>
      <c r="P203" t="str">
        <f t="array" ref="P203">IF(COUNTIF('Cleaned Dataset'!$C$2:$C$1201,C203)&gt;1,"Yes","No")</f>
        <v>No</v>
      </c>
    </row>
    <row r="204" spans="1:16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  <c r="O204" t="str">
        <f t="shared" si="3"/>
        <v>February</v>
      </c>
      <c r="P204" t="str">
        <f t="array" ref="P204">IF(COUNTIF('Cleaned Dataset'!$C$2:$C$1201,C204)&gt;1,"Yes","No")</f>
        <v>No</v>
      </c>
    </row>
    <row r="205" spans="1:16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  <c r="O205" t="str">
        <f t="shared" si="3"/>
        <v>January</v>
      </c>
      <c r="P205" t="str">
        <f t="array" ref="P205">IF(COUNTIF('Cleaned Dataset'!$C$2:$C$1201,C205)&gt;1,"Yes","No")</f>
        <v>No</v>
      </c>
    </row>
    <row r="206" spans="1:16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  <c r="O206" t="str">
        <f t="shared" si="3"/>
        <v>September</v>
      </c>
      <c r="P206" t="str">
        <f t="array" ref="P206">IF(COUNTIF('Cleaned Dataset'!$C$2:$C$1201,C206)&gt;1,"Yes","No")</f>
        <v>No</v>
      </c>
    </row>
    <row r="207" spans="1:16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4320</v>
      </c>
      <c r="M207" s="2" t="s">
        <v>4280</v>
      </c>
      <c r="N207" s="2">
        <v>442.17</v>
      </c>
      <c r="O207" t="str">
        <f t="shared" si="3"/>
        <v>March</v>
      </c>
      <c r="P207" t="str">
        <f t="array" ref="P207">IF(COUNTIF('Cleaned Dataset'!$C$2:$C$1201,C207)&gt;1,"Yes","No")</f>
        <v>No</v>
      </c>
    </row>
    <row r="208" spans="1:16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  <c r="O208" t="str">
        <f t="shared" si="3"/>
        <v>April</v>
      </c>
      <c r="P208" t="str">
        <f t="array" ref="P208">IF(COUNTIF('Cleaned Dataset'!$C$2:$C$1201,C208)&gt;1,"Yes","No")</f>
        <v>No</v>
      </c>
    </row>
    <row r="209" spans="1:16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4320</v>
      </c>
      <c r="M209" s="2" t="s">
        <v>4282</v>
      </c>
      <c r="N209" s="2">
        <v>121.96</v>
      </c>
      <c r="O209" t="str">
        <f t="shared" si="3"/>
        <v>March</v>
      </c>
      <c r="P209" t="str">
        <f t="array" ref="P209">IF(COUNTIF('Cleaned Dataset'!$C$2:$C$1201,C209)&gt;1,"Yes","No")</f>
        <v>No</v>
      </c>
    </row>
    <row r="210" spans="1:16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  <c r="O210" t="str">
        <f t="shared" si="3"/>
        <v>October</v>
      </c>
      <c r="P210" t="str">
        <f t="array" ref="P210">IF(COUNTIF('Cleaned Dataset'!$C$2:$C$1201,C210)&gt;1,"Yes","No")</f>
        <v>No</v>
      </c>
    </row>
    <row r="211" spans="1:16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  <c r="O211" t="str">
        <f t="shared" si="3"/>
        <v>August</v>
      </c>
      <c r="P211" t="str">
        <f t="array" ref="P211">IF(COUNTIF('Cleaned Dataset'!$C$2:$C$1201,C211)&gt;1,"Yes","No")</f>
        <v>No</v>
      </c>
    </row>
    <row r="212" spans="1:16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  <c r="O212" t="str">
        <f t="shared" si="3"/>
        <v>December</v>
      </c>
      <c r="P212" t="str">
        <f t="array" ref="P212">IF(COUNTIF('Cleaned Dataset'!$C$2:$C$1201,C212)&gt;1,"Yes","No")</f>
        <v>No</v>
      </c>
    </row>
    <row r="213" spans="1:16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  <c r="O213" t="str">
        <f t="shared" si="3"/>
        <v>January</v>
      </c>
      <c r="P213" t="str">
        <f t="array" ref="P213">IF(COUNTIF('Cleaned Dataset'!$C$2:$C$1201,C213)&gt;1,"Yes","No")</f>
        <v>No</v>
      </c>
    </row>
    <row r="214" spans="1:16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  <c r="O214" t="str">
        <f t="shared" si="3"/>
        <v>June</v>
      </c>
      <c r="P214" t="str">
        <f t="array" ref="P214">IF(COUNTIF('Cleaned Dataset'!$C$2:$C$1201,C214)&gt;1,"Yes","No")</f>
        <v>No</v>
      </c>
    </row>
    <row r="215" spans="1:16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  <c r="O215" t="str">
        <f t="shared" si="3"/>
        <v>April</v>
      </c>
      <c r="P215" t="str">
        <f t="array" ref="P215">IF(COUNTIF('Cleaned Dataset'!$C$2:$C$1201,C215)&gt;1,"Yes","No")</f>
        <v>No</v>
      </c>
    </row>
    <row r="216" spans="1:16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4320</v>
      </c>
      <c r="M216" s="2" t="s">
        <v>4281</v>
      </c>
      <c r="N216" s="2">
        <v>1222.8800000000001</v>
      </c>
      <c r="O216" t="str">
        <f t="shared" si="3"/>
        <v>August</v>
      </c>
      <c r="P216" t="str">
        <f t="array" ref="P216">IF(COUNTIF('Cleaned Dataset'!$C$2:$C$1201,C216)&gt;1,"Yes","No")</f>
        <v>No</v>
      </c>
    </row>
    <row r="217" spans="1:16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  <c r="O217" t="str">
        <f t="shared" si="3"/>
        <v>August</v>
      </c>
      <c r="P217" t="str">
        <f t="array" ref="P217">IF(COUNTIF('Cleaned Dataset'!$C$2:$C$1201,C217)&gt;1,"Yes","No")</f>
        <v>No</v>
      </c>
    </row>
    <row r="218" spans="1:16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  <c r="O218" t="str">
        <f t="shared" si="3"/>
        <v>April</v>
      </c>
      <c r="P218" t="str">
        <f t="array" ref="P218">IF(COUNTIF('Cleaned Dataset'!$C$2:$C$1201,C218)&gt;1,"Yes","No")</f>
        <v>No</v>
      </c>
    </row>
    <row r="219" spans="1:16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4320</v>
      </c>
      <c r="M219" s="2" t="s">
        <v>4282</v>
      </c>
      <c r="N219" s="2">
        <v>1286.04</v>
      </c>
      <c r="O219" t="str">
        <f t="shared" si="3"/>
        <v>May</v>
      </c>
      <c r="P219" t="str">
        <f t="array" ref="P219">IF(COUNTIF('Cleaned Dataset'!$C$2:$C$1201,C219)&gt;1,"Yes","No")</f>
        <v>No</v>
      </c>
    </row>
    <row r="220" spans="1:16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  <c r="O220" t="str">
        <f t="shared" si="3"/>
        <v>April</v>
      </c>
      <c r="P220" t="str">
        <f t="array" ref="P220">IF(COUNTIF('Cleaned Dataset'!$C$2:$C$1201,C220)&gt;1,"Yes","No")</f>
        <v>No</v>
      </c>
    </row>
    <row r="221" spans="1:16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  <c r="O221" t="str">
        <f t="shared" si="3"/>
        <v>May</v>
      </c>
      <c r="P221" t="str">
        <f t="array" ref="P221">IF(COUNTIF('Cleaned Dataset'!$C$2:$C$1201,C221)&gt;1,"Yes","No")</f>
        <v>No</v>
      </c>
    </row>
    <row r="222" spans="1:16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  <c r="O222" t="str">
        <f t="shared" si="3"/>
        <v>July</v>
      </c>
      <c r="P222" t="str">
        <f t="array" ref="P222">IF(COUNTIF('Cleaned Dataset'!$C$2:$C$1201,C222)&gt;1,"Yes","No")</f>
        <v>No</v>
      </c>
    </row>
    <row r="223" spans="1:16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  <c r="O223" t="str">
        <f t="shared" si="3"/>
        <v>February</v>
      </c>
      <c r="P223" t="str">
        <f t="array" ref="P223">IF(COUNTIF('Cleaned Dataset'!$C$2:$C$1201,C223)&gt;1,"Yes","No")</f>
        <v>No</v>
      </c>
    </row>
    <row r="224" spans="1:16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4320</v>
      </c>
      <c r="M224" s="2" t="s">
        <v>4278</v>
      </c>
      <c r="N224" s="2">
        <v>2773.44</v>
      </c>
      <c r="O224" t="str">
        <f t="shared" si="3"/>
        <v>May</v>
      </c>
      <c r="P224" t="str">
        <f t="array" ref="P224">IF(COUNTIF('Cleaned Dataset'!$C$2:$C$1201,C224)&gt;1,"Yes","No")</f>
        <v>No</v>
      </c>
    </row>
    <row r="225" spans="1:16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  <c r="O225" t="str">
        <f t="shared" si="3"/>
        <v>September</v>
      </c>
      <c r="P225" t="str">
        <f t="array" ref="P225">IF(COUNTIF('Cleaned Dataset'!$C$2:$C$1201,C225)&gt;1,"Yes","No")</f>
        <v>No</v>
      </c>
    </row>
    <row r="226" spans="1:16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  <c r="O226" t="str">
        <f t="shared" si="3"/>
        <v>September</v>
      </c>
      <c r="P226" t="str">
        <f t="array" ref="P226">IF(COUNTIF('Cleaned Dataset'!$C$2:$C$1201,C226)&gt;1,"Yes","No")</f>
        <v>No</v>
      </c>
    </row>
    <row r="227" spans="1:16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  <c r="O227" t="str">
        <f t="shared" si="3"/>
        <v>March</v>
      </c>
      <c r="P227" t="str">
        <f t="array" ref="P227">IF(COUNTIF('Cleaned Dataset'!$C$2:$C$1201,C227)&gt;1,"Yes","No")</f>
        <v>No</v>
      </c>
    </row>
    <row r="228" spans="1:16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4320</v>
      </c>
      <c r="M228" s="2" t="s">
        <v>4278</v>
      </c>
      <c r="N228" s="2">
        <v>1764.15</v>
      </c>
      <c r="O228" t="str">
        <f t="shared" si="3"/>
        <v>June</v>
      </c>
      <c r="P228" t="str">
        <f t="array" ref="P228">IF(COUNTIF('Cleaned Dataset'!$C$2:$C$1201,C228)&gt;1,"Yes","No")</f>
        <v>No</v>
      </c>
    </row>
    <row r="229" spans="1:16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  <c r="O229" t="str">
        <f t="shared" si="3"/>
        <v>November</v>
      </c>
      <c r="P229" t="str">
        <f t="array" ref="P229">IF(COUNTIF('Cleaned Dataset'!$C$2:$C$1201,C229)&gt;1,"Yes","No")</f>
        <v>No</v>
      </c>
    </row>
    <row r="230" spans="1:16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4320</v>
      </c>
      <c r="M230" s="2" t="s">
        <v>4278</v>
      </c>
      <c r="N230" s="2">
        <v>1543.68</v>
      </c>
      <c r="O230" t="str">
        <f t="shared" si="3"/>
        <v>May</v>
      </c>
      <c r="P230" t="str">
        <f t="array" ref="P230">IF(COUNTIF('Cleaned Dataset'!$C$2:$C$1201,C230)&gt;1,"Yes","No")</f>
        <v>No</v>
      </c>
    </row>
    <row r="231" spans="1:16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  <c r="O231" t="str">
        <f t="shared" si="3"/>
        <v>March</v>
      </c>
      <c r="P231" t="str">
        <f t="array" ref="P231">IF(COUNTIF('Cleaned Dataset'!$C$2:$C$1201,C231)&gt;1,"Yes","No")</f>
        <v>No</v>
      </c>
    </row>
    <row r="232" spans="1:16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  <c r="O232" t="str">
        <f t="shared" si="3"/>
        <v>December</v>
      </c>
      <c r="P232" t="str">
        <f t="array" ref="P232">IF(COUNTIF('Cleaned Dataset'!$C$2:$C$1201,C232)&gt;1,"Yes","No")</f>
        <v>No</v>
      </c>
    </row>
    <row r="233" spans="1:16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  <c r="O233" t="str">
        <f t="shared" si="3"/>
        <v>November</v>
      </c>
      <c r="P233" t="str">
        <f t="array" ref="P233">IF(COUNTIF('Cleaned Dataset'!$C$2:$C$1201,C233)&gt;1,"Yes","No")</f>
        <v>No</v>
      </c>
    </row>
    <row r="234" spans="1:16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  <c r="O234" t="str">
        <f t="shared" si="3"/>
        <v>May</v>
      </c>
      <c r="P234" t="str">
        <f t="array" ref="P234">IF(COUNTIF('Cleaned Dataset'!$C$2:$C$1201,C234)&gt;1,"Yes","No")</f>
        <v>No</v>
      </c>
    </row>
    <row r="235" spans="1:16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  <c r="O235" t="str">
        <f t="shared" si="3"/>
        <v>August</v>
      </c>
      <c r="P235" t="str">
        <f t="array" ref="P235">IF(COUNTIF('Cleaned Dataset'!$C$2:$C$1201,C235)&gt;1,"Yes","No")</f>
        <v>No</v>
      </c>
    </row>
    <row r="236" spans="1:16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  <c r="O236" t="str">
        <f t="shared" si="3"/>
        <v>November</v>
      </c>
      <c r="P236" t="str">
        <f t="array" ref="P236">IF(COUNTIF('Cleaned Dataset'!$C$2:$C$1201,C236)&gt;1,"Yes","No")</f>
        <v>No</v>
      </c>
    </row>
    <row r="237" spans="1:16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  <c r="O237" t="str">
        <f t="shared" si="3"/>
        <v>February</v>
      </c>
      <c r="P237" t="str">
        <f t="array" ref="P237">IF(COUNTIF('Cleaned Dataset'!$C$2:$C$1201,C237)&gt;1,"Yes","No")</f>
        <v>No</v>
      </c>
    </row>
    <row r="238" spans="1:16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  <c r="O238" t="str">
        <f t="shared" si="3"/>
        <v>January</v>
      </c>
      <c r="P238" t="str">
        <f t="array" ref="P238">IF(COUNTIF('Cleaned Dataset'!$C$2:$C$1201,C238)&gt;1,"Yes","No")</f>
        <v>Yes</v>
      </c>
    </row>
    <row r="239" spans="1:16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  <c r="O239" t="str">
        <f t="shared" si="3"/>
        <v>March</v>
      </c>
      <c r="P239" t="str">
        <f t="array" ref="P239">IF(COUNTIF('Cleaned Dataset'!$C$2:$C$1201,C239)&gt;1,"Yes","No")</f>
        <v>No</v>
      </c>
    </row>
    <row r="240" spans="1:16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  <c r="O240" t="str">
        <f t="shared" si="3"/>
        <v>December</v>
      </c>
      <c r="P240" t="str">
        <f t="array" ref="P240">IF(COUNTIF('Cleaned Dataset'!$C$2:$C$1201,C240)&gt;1,"Yes","No")</f>
        <v>No</v>
      </c>
    </row>
    <row r="241" spans="1:16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  <c r="O241" t="str">
        <f t="shared" si="3"/>
        <v>December</v>
      </c>
      <c r="P241" t="str">
        <f t="array" ref="P241">IF(COUNTIF('Cleaned Dataset'!$C$2:$C$1201,C241)&gt;1,"Yes","No")</f>
        <v>No</v>
      </c>
    </row>
    <row r="242" spans="1:16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  <c r="O242" t="str">
        <f t="shared" si="3"/>
        <v>July</v>
      </c>
      <c r="P242" t="str">
        <f t="array" ref="P242">IF(COUNTIF('Cleaned Dataset'!$C$2:$C$1201,C242)&gt;1,"Yes","No")</f>
        <v>No</v>
      </c>
    </row>
    <row r="243" spans="1:16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  <c r="O243" t="str">
        <f t="shared" si="3"/>
        <v>May</v>
      </c>
      <c r="P243" t="str">
        <f t="array" ref="P243">IF(COUNTIF('Cleaned Dataset'!$C$2:$C$1201,C243)&gt;1,"Yes","No")</f>
        <v>No</v>
      </c>
    </row>
    <row r="244" spans="1:16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  <c r="O244" t="str">
        <f t="shared" si="3"/>
        <v>May</v>
      </c>
      <c r="P244" t="str">
        <f t="array" ref="P244">IF(COUNTIF('Cleaned Dataset'!$C$2:$C$1201,C244)&gt;1,"Yes","No")</f>
        <v>No</v>
      </c>
    </row>
    <row r="245" spans="1:16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  <c r="O245" t="str">
        <f t="shared" si="3"/>
        <v>May</v>
      </c>
      <c r="P245" t="str">
        <f t="array" ref="P245">IF(COUNTIF('Cleaned Dataset'!$C$2:$C$1201,C245)&gt;1,"Yes","No")</f>
        <v>No</v>
      </c>
    </row>
    <row r="246" spans="1:16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  <c r="O246" t="str">
        <f t="shared" si="3"/>
        <v>February</v>
      </c>
      <c r="P246" t="str">
        <f t="array" ref="P246">IF(COUNTIF('Cleaned Dataset'!$C$2:$C$1201,C246)&gt;1,"Yes","No")</f>
        <v>No</v>
      </c>
    </row>
    <row r="247" spans="1:16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4320</v>
      </c>
      <c r="M247" s="2" t="s">
        <v>4281</v>
      </c>
      <c r="N247" s="2">
        <v>223.3</v>
      </c>
      <c r="O247" t="str">
        <f t="shared" si="3"/>
        <v>April</v>
      </c>
      <c r="P247" t="str">
        <f t="array" ref="P247">IF(COUNTIF('Cleaned Dataset'!$C$2:$C$1201,C247)&gt;1,"Yes","No")</f>
        <v>No</v>
      </c>
    </row>
    <row r="248" spans="1:16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  <c r="O248" t="str">
        <f t="shared" si="3"/>
        <v>August</v>
      </c>
      <c r="P248" t="str">
        <f t="array" ref="P248">IF(COUNTIF('Cleaned Dataset'!$C$2:$C$1201,C248)&gt;1,"Yes","No")</f>
        <v>No</v>
      </c>
    </row>
    <row r="249" spans="1:16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4320</v>
      </c>
      <c r="M249" s="2" t="s">
        <v>4280</v>
      </c>
      <c r="N249" s="2">
        <v>441.8</v>
      </c>
      <c r="O249" t="str">
        <f t="shared" si="3"/>
        <v>July</v>
      </c>
      <c r="P249" t="str">
        <f t="array" ref="P249">IF(COUNTIF('Cleaned Dataset'!$C$2:$C$1201,C249)&gt;1,"Yes","No")</f>
        <v>No</v>
      </c>
    </row>
    <row r="250" spans="1:16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  <c r="O250" t="str">
        <f t="shared" si="3"/>
        <v>July</v>
      </c>
      <c r="P250" t="str">
        <f t="array" ref="P250">IF(COUNTIF('Cleaned Dataset'!$C$2:$C$1201,C250)&gt;1,"Yes","No")</f>
        <v>No</v>
      </c>
    </row>
    <row r="251" spans="1:16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  <c r="O251" t="str">
        <f t="shared" si="3"/>
        <v>February</v>
      </c>
      <c r="P251" t="str">
        <f t="array" ref="P251">IF(COUNTIF('Cleaned Dataset'!$C$2:$C$1201,C251)&gt;1,"Yes","No")</f>
        <v>No</v>
      </c>
    </row>
    <row r="252" spans="1:16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  <c r="O252" t="str">
        <f t="shared" si="3"/>
        <v>April</v>
      </c>
      <c r="P252" t="str">
        <f t="array" ref="P252">IF(COUNTIF('Cleaned Dataset'!$C$2:$C$1201,C252)&gt;1,"Yes","No")</f>
        <v>No</v>
      </c>
    </row>
    <row r="253" spans="1:16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4320</v>
      </c>
      <c r="M253" s="2" t="s">
        <v>4280</v>
      </c>
      <c r="N253" s="2">
        <v>58.76</v>
      </c>
      <c r="O253" t="str">
        <f t="shared" si="3"/>
        <v>May</v>
      </c>
      <c r="P253" t="str">
        <f t="array" ref="P253">IF(COUNTIF('Cleaned Dataset'!$C$2:$C$1201,C253)&gt;1,"Yes","No")</f>
        <v>No</v>
      </c>
    </row>
    <row r="254" spans="1:16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  <c r="O254" t="str">
        <f t="shared" si="3"/>
        <v>September</v>
      </c>
      <c r="P254" t="str">
        <f t="array" ref="P254">IF(COUNTIF('Cleaned Dataset'!$C$2:$C$1201,C254)&gt;1,"Yes","No")</f>
        <v>No</v>
      </c>
    </row>
    <row r="255" spans="1:16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  <c r="O255" t="str">
        <f t="shared" si="3"/>
        <v>March</v>
      </c>
      <c r="P255" t="str">
        <f t="array" ref="P255">IF(COUNTIF('Cleaned Dataset'!$C$2:$C$1201,C255)&gt;1,"Yes","No")</f>
        <v>No</v>
      </c>
    </row>
    <row r="256" spans="1:16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4320</v>
      </c>
      <c r="M256" s="2" t="s">
        <v>4278</v>
      </c>
      <c r="N256" s="2">
        <v>789.56999999999994</v>
      </c>
      <c r="O256" t="str">
        <f t="shared" si="3"/>
        <v>December</v>
      </c>
      <c r="P256" t="str">
        <f t="array" ref="P256">IF(COUNTIF('Cleaned Dataset'!$C$2:$C$1201,C256)&gt;1,"Yes","No")</f>
        <v>No</v>
      </c>
    </row>
    <row r="257" spans="1:16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  <c r="O257" t="str">
        <f t="shared" si="3"/>
        <v>May</v>
      </c>
      <c r="P257" t="str">
        <f t="array" ref="P257">IF(COUNTIF('Cleaned Dataset'!$C$2:$C$1201,C257)&gt;1,"Yes","No")</f>
        <v>No</v>
      </c>
    </row>
    <row r="258" spans="1:16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  <c r="O258" t="str">
        <f t="shared" si="3"/>
        <v>June</v>
      </c>
      <c r="P258" t="str">
        <f t="array" ref="P258">IF(COUNTIF('Cleaned Dataset'!$C$2:$C$1201,C258)&gt;1,"Yes","No")</f>
        <v>No</v>
      </c>
    </row>
    <row r="259" spans="1:16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  <c r="O259" t="str">
        <f t="shared" ref="O259:O322" si="4">TEXT(B259,"mmmm")</f>
        <v>April</v>
      </c>
      <c r="P259" t="str">
        <f t="array" ref="P259">IF(COUNTIF('Cleaned Dataset'!$C$2:$C$1201,C259)&gt;1,"Yes","No")</f>
        <v>No</v>
      </c>
    </row>
    <row r="260" spans="1:16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  <c r="O260" t="str">
        <f t="shared" si="4"/>
        <v>February</v>
      </c>
      <c r="P260" t="str">
        <f t="array" ref="P260">IF(COUNTIF('Cleaned Dataset'!$C$2:$C$1201,C260)&gt;1,"Yes","No")</f>
        <v>No</v>
      </c>
    </row>
    <row r="261" spans="1:16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  <c r="O261" t="str">
        <f t="shared" si="4"/>
        <v>June</v>
      </c>
      <c r="P261" t="str">
        <f t="array" ref="P261">IF(COUNTIF('Cleaned Dataset'!$C$2:$C$1201,C261)&gt;1,"Yes","No")</f>
        <v>No</v>
      </c>
    </row>
    <row r="262" spans="1:16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4320</v>
      </c>
      <c r="M262" s="2" t="s">
        <v>4282</v>
      </c>
      <c r="N262" s="2">
        <v>815.58</v>
      </c>
      <c r="O262" t="str">
        <f t="shared" si="4"/>
        <v>May</v>
      </c>
      <c r="P262" t="str">
        <f t="array" ref="P262">IF(COUNTIF('Cleaned Dataset'!$C$2:$C$1201,C262)&gt;1,"Yes","No")</f>
        <v>No</v>
      </c>
    </row>
    <row r="263" spans="1:16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  <c r="O263" t="str">
        <f t="shared" si="4"/>
        <v>May</v>
      </c>
      <c r="P263" t="str">
        <f t="array" ref="P263">IF(COUNTIF('Cleaned Dataset'!$C$2:$C$1201,C263)&gt;1,"Yes","No")</f>
        <v>No</v>
      </c>
    </row>
    <row r="264" spans="1:16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  <c r="O264" t="str">
        <f t="shared" si="4"/>
        <v>January</v>
      </c>
      <c r="P264" t="str">
        <f t="array" ref="P264">IF(COUNTIF('Cleaned Dataset'!$C$2:$C$1201,C264)&gt;1,"Yes","No")</f>
        <v>No</v>
      </c>
    </row>
    <row r="265" spans="1:16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  <c r="O265" t="str">
        <f t="shared" si="4"/>
        <v>March</v>
      </c>
      <c r="P265" t="str">
        <f t="array" ref="P265">IF(COUNTIF('Cleaned Dataset'!$C$2:$C$1201,C265)&gt;1,"Yes","No")</f>
        <v>No</v>
      </c>
    </row>
    <row r="266" spans="1:16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  <c r="O266" t="str">
        <f t="shared" si="4"/>
        <v>August</v>
      </c>
      <c r="P266" t="str">
        <f t="array" ref="P266">IF(COUNTIF('Cleaned Dataset'!$C$2:$C$1201,C266)&gt;1,"Yes","No")</f>
        <v>No</v>
      </c>
    </row>
    <row r="267" spans="1:16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  <c r="O267" t="str">
        <f t="shared" si="4"/>
        <v>December</v>
      </c>
      <c r="P267" t="str">
        <f t="array" ref="P267">IF(COUNTIF('Cleaned Dataset'!$C$2:$C$1201,C267)&gt;1,"Yes","No")</f>
        <v>No</v>
      </c>
    </row>
    <row r="268" spans="1:16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  <c r="O268" t="str">
        <f t="shared" si="4"/>
        <v>June</v>
      </c>
      <c r="P268" t="str">
        <f t="array" ref="P268">IF(COUNTIF('Cleaned Dataset'!$C$2:$C$1201,C268)&gt;1,"Yes","No")</f>
        <v>Yes</v>
      </c>
    </row>
    <row r="269" spans="1:16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4320</v>
      </c>
      <c r="M269" s="2" t="s">
        <v>4281</v>
      </c>
      <c r="N269" s="2">
        <v>2342.5500000000002</v>
      </c>
      <c r="O269" t="str">
        <f t="shared" si="4"/>
        <v>April</v>
      </c>
      <c r="P269" t="str">
        <f t="array" ref="P269">IF(COUNTIF('Cleaned Dataset'!$C$2:$C$1201,C269)&gt;1,"Yes","No")</f>
        <v>No</v>
      </c>
    </row>
    <row r="270" spans="1:16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  <c r="O270" t="str">
        <f t="shared" si="4"/>
        <v>August</v>
      </c>
      <c r="P270" t="str">
        <f t="array" ref="P270">IF(COUNTIF('Cleaned Dataset'!$C$2:$C$1201,C270)&gt;1,"Yes","No")</f>
        <v>No</v>
      </c>
    </row>
    <row r="271" spans="1:16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  <c r="O271" t="str">
        <f t="shared" si="4"/>
        <v>November</v>
      </c>
      <c r="P271" t="str">
        <f t="array" ref="P271">IF(COUNTIF('Cleaned Dataset'!$C$2:$C$1201,C271)&gt;1,"Yes","No")</f>
        <v>No</v>
      </c>
    </row>
    <row r="272" spans="1:16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  <c r="O272" t="str">
        <f t="shared" si="4"/>
        <v>June</v>
      </c>
      <c r="P272" t="str">
        <f t="array" ref="P272">IF(COUNTIF('Cleaned Dataset'!$C$2:$C$1201,C272)&gt;1,"Yes","No")</f>
        <v>No</v>
      </c>
    </row>
    <row r="273" spans="1:16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  <c r="O273" t="str">
        <f t="shared" si="4"/>
        <v>March</v>
      </c>
      <c r="P273" t="str">
        <f t="array" ref="P273">IF(COUNTIF('Cleaned Dataset'!$C$2:$C$1201,C273)&gt;1,"Yes","No")</f>
        <v>No</v>
      </c>
    </row>
    <row r="274" spans="1:16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  <c r="O274" t="str">
        <f t="shared" si="4"/>
        <v>September</v>
      </c>
      <c r="P274" t="str">
        <f t="array" ref="P274">IF(COUNTIF('Cleaned Dataset'!$C$2:$C$1201,C274)&gt;1,"Yes","No")</f>
        <v>No</v>
      </c>
    </row>
    <row r="275" spans="1:16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  <c r="O275" t="str">
        <f t="shared" si="4"/>
        <v>October</v>
      </c>
      <c r="P275" t="str">
        <f t="array" ref="P275">IF(COUNTIF('Cleaned Dataset'!$C$2:$C$1201,C275)&gt;1,"Yes","No")</f>
        <v>No</v>
      </c>
    </row>
    <row r="276" spans="1:16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  <c r="O276" t="str">
        <f t="shared" si="4"/>
        <v>February</v>
      </c>
      <c r="P276" t="str">
        <f t="array" ref="P276">IF(COUNTIF('Cleaned Dataset'!$C$2:$C$1201,C276)&gt;1,"Yes","No")</f>
        <v>No</v>
      </c>
    </row>
    <row r="277" spans="1:16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  <c r="O277" t="str">
        <f t="shared" si="4"/>
        <v>November</v>
      </c>
      <c r="P277" t="str">
        <f t="array" ref="P277">IF(COUNTIF('Cleaned Dataset'!$C$2:$C$1201,C277)&gt;1,"Yes","No")</f>
        <v>No</v>
      </c>
    </row>
    <row r="278" spans="1:16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  <c r="O278" t="str">
        <f t="shared" si="4"/>
        <v>March</v>
      </c>
      <c r="P278" t="str">
        <f t="array" ref="P278">IF(COUNTIF('Cleaned Dataset'!$C$2:$C$1201,C278)&gt;1,"Yes","No")</f>
        <v>No</v>
      </c>
    </row>
    <row r="279" spans="1:16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  <c r="O279" t="str">
        <f t="shared" si="4"/>
        <v>September</v>
      </c>
      <c r="P279" t="str">
        <f t="array" ref="P279">IF(COUNTIF('Cleaned Dataset'!$C$2:$C$1201,C279)&gt;1,"Yes","No")</f>
        <v>No</v>
      </c>
    </row>
    <row r="280" spans="1:16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  <c r="O280" t="str">
        <f t="shared" si="4"/>
        <v>November</v>
      </c>
      <c r="P280" t="str">
        <f t="array" ref="P280">IF(COUNTIF('Cleaned Dataset'!$C$2:$C$1201,C280)&gt;1,"Yes","No")</f>
        <v>No</v>
      </c>
    </row>
    <row r="281" spans="1:16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  <c r="O281" t="str">
        <f t="shared" si="4"/>
        <v>October</v>
      </c>
      <c r="P281" t="str">
        <f t="array" ref="P281">IF(COUNTIF('Cleaned Dataset'!$C$2:$C$1201,C281)&gt;1,"Yes","No")</f>
        <v>No</v>
      </c>
    </row>
    <row r="282" spans="1:16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  <c r="O282" t="str">
        <f t="shared" si="4"/>
        <v>March</v>
      </c>
      <c r="P282" t="str">
        <f t="array" ref="P282">IF(COUNTIF('Cleaned Dataset'!$C$2:$C$1201,C282)&gt;1,"Yes","No")</f>
        <v>No</v>
      </c>
    </row>
    <row r="283" spans="1:16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4320</v>
      </c>
      <c r="M283" s="2" t="s">
        <v>4279</v>
      </c>
      <c r="N283" s="2">
        <v>2619.16</v>
      </c>
      <c r="O283" t="str">
        <f t="shared" si="4"/>
        <v>July</v>
      </c>
      <c r="P283" t="str">
        <f t="array" ref="P283">IF(COUNTIF('Cleaned Dataset'!$C$2:$C$1201,C283)&gt;1,"Yes","No")</f>
        <v>No</v>
      </c>
    </row>
    <row r="284" spans="1:16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  <c r="O284" t="str">
        <f t="shared" si="4"/>
        <v>April</v>
      </c>
      <c r="P284" t="str">
        <f t="array" ref="P284">IF(COUNTIF('Cleaned Dataset'!$C$2:$C$1201,C284)&gt;1,"Yes","No")</f>
        <v>No</v>
      </c>
    </row>
    <row r="285" spans="1:16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4320</v>
      </c>
      <c r="M285" s="2" t="s">
        <v>4282</v>
      </c>
      <c r="N285" s="2">
        <v>2161.3200000000002</v>
      </c>
      <c r="O285" t="str">
        <f t="shared" si="4"/>
        <v>February</v>
      </c>
      <c r="P285" t="str">
        <f t="array" ref="P285">IF(COUNTIF('Cleaned Dataset'!$C$2:$C$1201,C285)&gt;1,"Yes","No")</f>
        <v>No</v>
      </c>
    </row>
    <row r="286" spans="1:16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  <c r="O286" t="str">
        <f t="shared" si="4"/>
        <v>February</v>
      </c>
      <c r="P286" t="str">
        <f t="array" ref="P286">IF(COUNTIF('Cleaned Dataset'!$C$2:$C$1201,C286)&gt;1,"Yes","No")</f>
        <v>No</v>
      </c>
    </row>
    <row r="287" spans="1:16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4320</v>
      </c>
      <c r="M287" s="2" t="s">
        <v>4282</v>
      </c>
      <c r="N287" s="2">
        <v>338.31</v>
      </c>
      <c r="O287" t="str">
        <f t="shared" si="4"/>
        <v>June</v>
      </c>
      <c r="P287" t="str">
        <f t="array" ref="P287">IF(COUNTIF('Cleaned Dataset'!$C$2:$C$1201,C287)&gt;1,"Yes","No")</f>
        <v>No</v>
      </c>
    </row>
    <row r="288" spans="1:16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  <c r="O288" t="str">
        <f t="shared" si="4"/>
        <v>April</v>
      </c>
      <c r="P288" t="str">
        <f t="array" ref="P288">IF(COUNTIF('Cleaned Dataset'!$C$2:$C$1201,C288)&gt;1,"Yes","No")</f>
        <v>No</v>
      </c>
    </row>
    <row r="289" spans="1:16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4320</v>
      </c>
      <c r="M289" s="2" t="s">
        <v>4281</v>
      </c>
      <c r="N289" s="2">
        <v>2620.7199999999998</v>
      </c>
      <c r="O289" t="str">
        <f t="shared" si="4"/>
        <v>November</v>
      </c>
      <c r="P289" t="str">
        <f t="array" ref="P289">IF(COUNTIF('Cleaned Dataset'!$C$2:$C$1201,C289)&gt;1,"Yes","No")</f>
        <v>No</v>
      </c>
    </row>
    <row r="290" spans="1:16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  <c r="O290" t="str">
        <f t="shared" si="4"/>
        <v>March</v>
      </c>
      <c r="P290" t="str">
        <f t="array" ref="P290">IF(COUNTIF('Cleaned Dataset'!$C$2:$C$1201,C290)&gt;1,"Yes","No")</f>
        <v>No</v>
      </c>
    </row>
    <row r="291" spans="1:16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  <c r="O291" t="str">
        <f t="shared" si="4"/>
        <v>July</v>
      </c>
      <c r="P291" t="str">
        <f t="array" ref="P291">IF(COUNTIF('Cleaned Dataset'!$C$2:$C$1201,C291)&gt;1,"Yes","No")</f>
        <v>No</v>
      </c>
    </row>
    <row r="292" spans="1:16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  <c r="O292" t="str">
        <f t="shared" si="4"/>
        <v>May</v>
      </c>
      <c r="P292" t="str">
        <f t="array" ref="P292">IF(COUNTIF('Cleaned Dataset'!$C$2:$C$1201,C292)&gt;1,"Yes","No")</f>
        <v>No</v>
      </c>
    </row>
    <row r="293" spans="1:16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  <c r="O293" t="str">
        <f t="shared" si="4"/>
        <v>May</v>
      </c>
      <c r="P293" t="str">
        <f t="array" ref="P293">IF(COUNTIF('Cleaned Dataset'!$C$2:$C$1201,C293)&gt;1,"Yes","No")</f>
        <v>No</v>
      </c>
    </row>
    <row r="294" spans="1:16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4320</v>
      </c>
      <c r="M294" s="2" t="s">
        <v>4281</v>
      </c>
      <c r="N294" s="2">
        <v>65.95</v>
      </c>
      <c r="O294" t="str">
        <f t="shared" si="4"/>
        <v>January</v>
      </c>
      <c r="P294" t="str">
        <f t="array" ref="P294">IF(COUNTIF('Cleaned Dataset'!$C$2:$C$1201,C294)&gt;1,"Yes","No")</f>
        <v>No</v>
      </c>
    </row>
    <row r="295" spans="1:16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4320</v>
      </c>
      <c r="M295" s="2" t="s">
        <v>4278</v>
      </c>
      <c r="N295" s="2">
        <v>1852.16</v>
      </c>
      <c r="O295" t="str">
        <f t="shared" si="4"/>
        <v>February</v>
      </c>
      <c r="P295" t="str">
        <f t="array" ref="P295">IF(COUNTIF('Cleaned Dataset'!$C$2:$C$1201,C295)&gt;1,"Yes","No")</f>
        <v>No</v>
      </c>
    </row>
    <row r="296" spans="1:16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  <c r="O296" t="str">
        <f t="shared" si="4"/>
        <v>April</v>
      </c>
      <c r="P296" t="str">
        <f t="array" ref="P296">IF(COUNTIF('Cleaned Dataset'!$C$2:$C$1201,C296)&gt;1,"Yes","No")</f>
        <v>No</v>
      </c>
    </row>
    <row r="297" spans="1:16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  <c r="O297" t="str">
        <f t="shared" si="4"/>
        <v>January</v>
      </c>
      <c r="P297" t="str">
        <f t="array" ref="P297">IF(COUNTIF('Cleaned Dataset'!$C$2:$C$1201,C297)&gt;1,"Yes","No")</f>
        <v>No</v>
      </c>
    </row>
    <row r="298" spans="1:16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  <c r="O298" t="str">
        <f t="shared" si="4"/>
        <v>June</v>
      </c>
      <c r="P298" t="str">
        <f t="array" ref="P298">IF(COUNTIF('Cleaned Dataset'!$C$2:$C$1201,C298)&gt;1,"Yes","No")</f>
        <v>No</v>
      </c>
    </row>
    <row r="299" spans="1:16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  <c r="O299" t="str">
        <f t="shared" si="4"/>
        <v>February</v>
      </c>
      <c r="P299" t="str">
        <f t="array" ref="P299">IF(COUNTIF('Cleaned Dataset'!$C$2:$C$1201,C299)&gt;1,"Yes","No")</f>
        <v>No</v>
      </c>
    </row>
    <row r="300" spans="1:16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4320</v>
      </c>
      <c r="M300" s="2" t="s">
        <v>4280</v>
      </c>
      <c r="N300" s="2">
        <v>1204.68</v>
      </c>
      <c r="O300" t="str">
        <f t="shared" si="4"/>
        <v>December</v>
      </c>
      <c r="P300" t="str">
        <f t="array" ref="P300">IF(COUNTIF('Cleaned Dataset'!$C$2:$C$1201,C300)&gt;1,"Yes","No")</f>
        <v>No</v>
      </c>
    </row>
    <row r="301" spans="1:16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  <c r="O301" t="str">
        <f t="shared" si="4"/>
        <v>January</v>
      </c>
      <c r="P301" t="str">
        <f t="array" ref="P301">IF(COUNTIF('Cleaned Dataset'!$C$2:$C$1201,C301)&gt;1,"Yes","No")</f>
        <v>No</v>
      </c>
    </row>
    <row r="302" spans="1:16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  <c r="O302" t="str">
        <f t="shared" si="4"/>
        <v>September</v>
      </c>
      <c r="P302" t="str">
        <f t="array" ref="P302">IF(COUNTIF('Cleaned Dataset'!$C$2:$C$1201,C302)&gt;1,"Yes","No")</f>
        <v>No</v>
      </c>
    </row>
    <row r="303" spans="1:16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  <c r="O303" t="str">
        <f t="shared" si="4"/>
        <v>May</v>
      </c>
      <c r="P303" t="str">
        <f t="array" ref="P303">IF(COUNTIF('Cleaned Dataset'!$C$2:$C$1201,C303)&gt;1,"Yes","No")</f>
        <v>No</v>
      </c>
    </row>
    <row r="304" spans="1:16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  <c r="O304" t="str">
        <f t="shared" si="4"/>
        <v>May</v>
      </c>
      <c r="P304" t="str">
        <f t="array" ref="P304">IF(COUNTIF('Cleaned Dataset'!$C$2:$C$1201,C304)&gt;1,"Yes","No")</f>
        <v>No</v>
      </c>
    </row>
    <row r="305" spans="1:16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4320</v>
      </c>
      <c r="M305" s="2" t="s">
        <v>4282</v>
      </c>
      <c r="N305" s="2">
        <v>30.54</v>
      </c>
      <c r="O305" t="str">
        <f t="shared" si="4"/>
        <v>December</v>
      </c>
      <c r="P305" t="str">
        <f t="array" ref="P305">IF(COUNTIF('Cleaned Dataset'!$C$2:$C$1201,C305)&gt;1,"Yes","No")</f>
        <v>No</v>
      </c>
    </row>
    <row r="306" spans="1:16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  <c r="O306" t="str">
        <f t="shared" si="4"/>
        <v>October</v>
      </c>
      <c r="P306" t="str">
        <f t="array" ref="P306">IF(COUNTIF('Cleaned Dataset'!$C$2:$C$1201,C306)&gt;1,"Yes","No")</f>
        <v>No</v>
      </c>
    </row>
    <row r="307" spans="1:16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  <c r="O307" t="str">
        <f t="shared" si="4"/>
        <v>November</v>
      </c>
      <c r="P307" t="str">
        <f t="array" ref="P307">IF(COUNTIF('Cleaned Dataset'!$C$2:$C$1201,C307)&gt;1,"Yes","No")</f>
        <v>No</v>
      </c>
    </row>
    <row r="308" spans="1:16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  <c r="O308" t="str">
        <f t="shared" si="4"/>
        <v>June</v>
      </c>
      <c r="P308" t="str">
        <f t="array" ref="P308">IF(COUNTIF('Cleaned Dataset'!$C$2:$C$1201,C308)&gt;1,"Yes","No")</f>
        <v>No</v>
      </c>
    </row>
    <row r="309" spans="1:16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4320</v>
      </c>
      <c r="M309" s="2" t="s">
        <v>4280</v>
      </c>
      <c r="N309" s="2">
        <v>1672.23</v>
      </c>
      <c r="O309" t="str">
        <f t="shared" si="4"/>
        <v>July</v>
      </c>
      <c r="P309" t="str">
        <f t="array" ref="P309">IF(COUNTIF('Cleaned Dataset'!$C$2:$C$1201,C309)&gt;1,"Yes","No")</f>
        <v>No</v>
      </c>
    </row>
    <row r="310" spans="1:16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  <c r="O310" t="str">
        <f t="shared" si="4"/>
        <v>December</v>
      </c>
      <c r="P310" t="str">
        <f t="array" ref="P310">IF(COUNTIF('Cleaned Dataset'!$C$2:$C$1201,C310)&gt;1,"Yes","No")</f>
        <v>No</v>
      </c>
    </row>
    <row r="311" spans="1:16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  <c r="O311" t="str">
        <f t="shared" si="4"/>
        <v>October</v>
      </c>
      <c r="P311" t="str">
        <f t="array" ref="P311">IF(COUNTIF('Cleaned Dataset'!$C$2:$C$1201,C311)&gt;1,"Yes","No")</f>
        <v>No</v>
      </c>
    </row>
    <row r="312" spans="1:16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4320</v>
      </c>
      <c r="M312" s="2" t="s">
        <v>4279</v>
      </c>
      <c r="N312" s="2">
        <v>397.43999999999988</v>
      </c>
      <c r="O312" t="str">
        <f t="shared" si="4"/>
        <v>February</v>
      </c>
      <c r="P312" t="str">
        <f t="array" ref="P312">IF(COUNTIF('Cleaned Dataset'!$C$2:$C$1201,C312)&gt;1,"Yes","No")</f>
        <v>No</v>
      </c>
    </row>
    <row r="313" spans="1:16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4320</v>
      </c>
      <c r="M313" s="2" t="s">
        <v>4278</v>
      </c>
      <c r="N313" s="2">
        <v>2446.85</v>
      </c>
      <c r="O313" t="str">
        <f t="shared" si="4"/>
        <v>May</v>
      </c>
      <c r="P313" t="str">
        <f t="array" ref="P313">IF(COUNTIF('Cleaned Dataset'!$C$2:$C$1201,C313)&gt;1,"Yes","No")</f>
        <v>No</v>
      </c>
    </row>
    <row r="314" spans="1:16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  <c r="O314" t="str">
        <f t="shared" si="4"/>
        <v>May</v>
      </c>
      <c r="P314" t="str">
        <f t="array" ref="P314">IF(COUNTIF('Cleaned Dataset'!$C$2:$C$1201,C314)&gt;1,"Yes","No")</f>
        <v>No</v>
      </c>
    </row>
    <row r="315" spans="1:16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  <c r="O315" t="str">
        <f t="shared" si="4"/>
        <v>July</v>
      </c>
      <c r="P315" t="str">
        <f t="array" ref="P315">IF(COUNTIF('Cleaned Dataset'!$C$2:$C$1201,C315)&gt;1,"Yes","No")</f>
        <v>No</v>
      </c>
    </row>
    <row r="316" spans="1:16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  <c r="O316" t="str">
        <f t="shared" si="4"/>
        <v>October</v>
      </c>
      <c r="P316" t="str">
        <f t="array" ref="P316">IF(COUNTIF('Cleaned Dataset'!$C$2:$C$1201,C316)&gt;1,"Yes","No")</f>
        <v>No</v>
      </c>
    </row>
    <row r="317" spans="1:16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  <c r="O317" t="str">
        <f t="shared" si="4"/>
        <v>May</v>
      </c>
      <c r="P317" t="str">
        <f t="array" ref="P317">IF(COUNTIF('Cleaned Dataset'!$C$2:$C$1201,C317)&gt;1,"Yes","No")</f>
        <v>No</v>
      </c>
    </row>
    <row r="318" spans="1:16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  <c r="O318" t="str">
        <f t="shared" si="4"/>
        <v>October</v>
      </c>
      <c r="P318" t="str">
        <f t="array" ref="P318">IF(COUNTIF('Cleaned Dataset'!$C$2:$C$1201,C318)&gt;1,"Yes","No")</f>
        <v>No</v>
      </c>
    </row>
    <row r="319" spans="1:16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4320</v>
      </c>
      <c r="M319" s="2" t="s">
        <v>4278</v>
      </c>
      <c r="N319" s="2">
        <v>279.89999999999998</v>
      </c>
      <c r="O319" t="str">
        <f t="shared" si="4"/>
        <v>April</v>
      </c>
      <c r="P319" t="str">
        <f t="array" ref="P319">IF(COUNTIF('Cleaned Dataset'!$C$2:$C$1201,C319)&gt;1,"Yes","No")</f>
        <v>No</v>
      </c>
    </row>
    <row r="320" spans="1:16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  <c r="O320" t="str">
        <f t="shared" si="4"/>
        <v>July</v>
      </c>
      <c r="P320" t="str">
        <f t="array" ref="P320">IF(COUNTIF('Cleaned Dataset'!$C$2:$C$1201,C320)&gt;1,"Yes","No")</f>
        <v>No</v>
      </c>
    </row>
    <row r="321" spans="1:16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4320</v>
      </c>
      <c r="M321" s="2" t="s">
        <v>4278</v>
      </c>
      <c r="N321" s="2">
        <v>1126.1199999999999</v>
      </c>
      <c r="O321" t="str">
        <f t="shared" si="4"/>
        <v>December</v>
      </c>
      <c r="P321" t="str">
        <f t="array" ref="P321">IF(COUNTIF('Cleaned Dataset'!$C$2:$C$1201,C321)&gt;1,"Yes","No")</f>
        <v>No</v>
      </c>
    </row>
    <row r="322" spans="1:16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  <c r="O322" t="str">
        <f t="shared" si="4"/>
        <v>December</v>
      </c>
      <c r="P322" t="str">
        <f t="array" ref="P322">IF(COUNTIF('Cleaned Dataset'!$C$2:$C$1201,C322)&gt;1,"Yes","No")</f>
        <v>No</v>
      </c>
    </row>
    <row r="323" spans="1:16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  <c r="O323" t="str">
        <f t="shared" ref="O323:O386" si="5">TEXT(B323,"mmmm")</f>
        <v>August</v>
      </c>
      <c r="P323" t="str">
        <f t="array" ref="P323">IF(COUNTIF('Cleaned Dataset'!$C$2:$C$1201,C323)&gt;1,"Yes","No")</f>
        <v>No</v>
      </c>
    </row>
    <row r="324" spans="1:16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  <c r="O324" t="str">
        <f t="shared" si="5"/>
        <v>June</v>
      </c>
      <c r="P324" t="str">
        <f t="array" ref="P324">IF(COUNTIF('Cleaned Dataset'!$C$2:$C$1201,C324)&gt;1,"Yes","No")</f>
        <v>No</v>
      </c>
    </row>
    <row r="325" spans="1:16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  <c r="O325" t="str">
        <f t="shared" si="5"/>
        <v>January</v>
      </c>
      <c r="P325" t="str">
        <f t="array" ref="P325">IF(COUNTIF('Cleaned Dataset'!$C$2:$C$1201,C325)&gt;1,"Yes","No")</f>
        <v>No</v>
      </c>
    </row>
    <row r="326" spans="1:16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4320</v>
      </c>
      <c r="M326" s="2" t="s">
        <v>4279</v>
      </c>
      <c r="N326" s="2">
        <v>212.79</v>
      </c>
      <c r="O326" t="str">
        <f t="shared" si="5"/>
        <v>June</v>
      </c>
      <c r="P326" t="str">
        <f t="array" ref="P326">IF(COUNTIF('Cleaned Dataset'!$C$2:$C$1201,C326)&gt;1,"Yes","No")</f>
        <v>No</v>
      </c>
    </row>
    <row r="327" spans="1:16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4320</v>
      </c>
      <c r="M327" s="2" t="s">
        <v>4279</v>
      </c>
      <c r="N327" s="2">
        <v>1084.17</v>
      </c>
      <c r="O327" t="str">
        <f t="shared" si="5"/>
        <v>June</v>
      </c>
      <c r="P327" t="str">
        <f t="array" ref="P327">IF(COUNTIF('Cleaned Dataset'!$C$2:$C$1201,C327)&gt;1,"Yes","No")</f>
        <v>No</v>
      </c>
    </row>
    <row r="328" spans="1:16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  <c r="O328" t="str">
        <f t="shared" si="5"/>
        <v>July</v>
      </c>
      <c r="P328" t="str">
        <f t="array" ref="P328">IF(COUNTIF('Cleaned Dataset'!$C$2:$C$1201,C328)&gt;1,"Yes","No")</f>
        <v>No</v>
      </c>
    </row>
    <row r="329" spans="1:16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  <c r="O329" t="str">
        <f t="shared" si="5"/>
        <v>July</v>
      </c>
      <c r="P329" t="str">
        <f t="array" ref="P329">IF(COUNTIF('Cleaned Dataset'!$C$2:$C$1201,C329)&gt;1,"Yes","No")</f>
        <v>No</v>
      </c>
    </row>
    <row r="330" spans="1:16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  <c r="O330" t="str">
        <f t="shared" si="5"/>
        <v>February</v>
      </c>
      <c r="P330" t="str">
        <f t="array" ref="P330">IF(COUNTIF('Cleaned Dataset'!$C$2:$C$1201,C330)&gt;1,"Yes","No")</f>
        <v>No</v>
      </c>
    </row>
    <row r="331" spans="1:16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4320</v>
      </c>
      <c r="M331" s="2" t="s">
        <v>4282</v>
      </c>
      <c r="N331" s="2">
        <v>1132.6400000000001</v>
      </c>
      <c r="O331" t="str">
        <f t="shared" si="5"/>
        <v>December</v>
      </c>
      <c r="P331" t="str">
        <f t="array" ref="P331">IF(COUNTIF('Cleaned Dataset'!$C$2:$C$1201,C331)&gt;1,"Yes","No")</f>
        <v>No</v>
      </c>
    </row>
    <row r="332" spans="1:16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  <c r="O332" t="str">
        <f t="shared" si="5"/>
        <v>June</v>
      </c>
      <c r="P332" t="str">
        <f t="array" ref="P332">IF(COUNTIF('Cleaned Dataset'!$C$2:$C$1201,C332)&gt;1,"Yes","No")</f>
        <v>No</v>
      </c>
    </row>
    <row r="333" spans="1:16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  <c r="O333" t="str">
        <f t="shared" si="5"/>
        <v>April</v>
      </c>
      <c r="P333" t="str">
        <f t="array" ref="P333">IF(COUNTIF('Cleaned Dataset'!$C$2:$C$1201,C333)&gt;1,"Yes","No")</f>
        <v>No</v>
      </c>
    </row>
    <row r="334" spans="1:16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  <c r="O334" t="str">
        <f t="shared" si="5"/>
        <v>July</v>
      </c>
      <c r="P334" t="str">
        <f t="array" ref="P334">IF(COUNTIF('Cleaned Dataset'!$C$2:$C$1201,C334)&gt;1,"Yes","No")</f>
        <v>No</v>
      </c>
    </row>
    <row r="335" spans="1:16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  <c r="O335" t="str">
        <f t="shared" si="5"/>
        <v>April</v>
      </c>
      <c r="P335" t="str">
        <f t="array" ref="P335">IF(COUNTIF('Cleaned Dataset'!$C$2:$C$1201,C335)&gt;1,"Yes","No")</f>
        <v>No</v>
      </c>
    </row>
    <row r="336" spans="1:16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  <c r="O336" t="str">
        <f t="shared" si="5"/>
        <v>March</v>
      </c>
      <c r="P336" t="str">
        <f t="array" ref="P336">IF(COUNTIF('Cleaned Dataset'!$C$2:$C$1201,C336)&gt;1,"Yes","No")</f>
        <v>No</v>
      </c>
    </row>
    <row r="337" spans="1:16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4320</v>
      </c>
      <c r="M337" s="2" t="s">
        <v>4280</v>
      </c>
      <c r="N337" s="2">
        <v>617.58000000000004</v>
      </c>
      <c r="O337" t="str">
        <f t="shared" si="5"/>
        <v>March</v>
      </c>
      <c r="P337" t="str">
        <f t="array" ref="P337">IF(COUNTIF('Cleaned Dataset'!$C$2:$C$1201,C337)&gt;1,"Yes","No")</f>
        <v>No</v>
      </c>
    </row>
    <row r="338" spans="1:16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  <c r="O338" t="str">
        <f t="shared" si="5"/>
        <v>December</v>
      </c>
      <c r="P338" t="str">
        <f t="array" ref="P338">IF(COUNTIF('Cleaned Dataset'!$C$2:$C$1201,C338)&gt;1,"Yes","No")</f>
        <v>No</v>
      </c>
    </row>
    <row r="339" spans="1:16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  <c r="O339" t="str">
        <f t="shared" si="5"/>
        <v>May</v>
      </c>
      <c r="P339" t="str">
        <f t="array" ref="P339">IF(COUNTIF('Cleaned Dataset'!$C$2:$C$1201,C339)&gt;1,"Yes","No")</f>
        <v>No</v>
      </c>
    </row>
    <row r="340" spans="1:16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4320</v>
      </c>
      <c r="M340" s="2" t="s">
        <v>4279</v>
      </c>
      <c r="N340" s="2">
        <v>1527.45</v>
      </c>
      <c r="O340" t="str">
        <f t="shared" si="5"/>
        <v>November</v>
      </c>
      <c r="P340" t="str">
        <f t="array" ref="P340">IF(COUNTIF('Cleaned Dataset'!$C$2:$C$1201,C340)&gt;1,"Yes","No")</f>
        <v>No</v>
      </c>
    </row>
    <row r="341" spans="1:16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  <c r="O341" t="str">
        <f t="shared" si="5"/>
        <v>April</v>
      </c>
      <c r="P341" t="str">
        <f t="array" ref="P341">IF(COUNTIF('Cleaned Dataset'!$C$2:$C$1201,C341)&gt;1,"Yes","No")</f>
        <v>No</v>
      </c>
    </row>
    <row r="342" spans="1:16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4320</v>
      </c>
      <c r="M342" s="2" t="s">
        <v>4280</v>
      </c>
      <c r="N342" s="2">
        <v>2606.25</v>
      </c>
      <c r="O342" t="str">
        <f t="shared" si="5"/>
        <v>April</v>
      </c>
      <c r="P342" t="str">
        <f t="array" ref="P342">IF(COUNTIF('Cleaned Dataset'!$C$2:$C$1201,C342)&gt;1,"Yes","No")</f>
        <v>No</v>
      </c>
    </row>
    <row r="343" spans="1:16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  <c r="O343" t="str">
        <f t="shared" si="5"/>
        <v>September</v>
      </c>
      <c r="P343" t="str">
        <f t="array" ref="P343">IF(COUNTIF('Cleaned Dataset'!$C$2:$C$1201,C343)&gt;1,"Yes","No")</f>
        <v>No</v>
      </c>
    </row>
    <row r="344" spans="1:16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4320</v>
      </c>
      <c r="M344" s="2" t="s">
        <v>4279</v>
      </c>
      <c r="N344" s="2">
        <v>2332.1</v>
      </c>
      <c r="O344" t="str">
        <f t="shared" si="5"/>
        <v>June</v>
      </c>
      <c r="P344" t="str">
        <f t="array" ref="P344">IF(COUNTIF('Cleaned Dataset'!$C$2:$C$1201,C344)&gt;1,"Yes","No")</f>
        <v>No</v>
      </c>
    </row>
    <row r="345" spans="1:16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  <c r="O345" t="str">
        <f t="shared" si="5"/>
        <v>February</v>
      </c>
      <c r="P345" t="str">
        <f t="array" ref="P345">IF(COUNTIF('Cleaned Dataset'!$C$2:$C$1201,C345)&gt;1,"Yes","No")</f>
        <v>No</v>
      </c>
    </row>
    <row r="346" spans="1:16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  <c r="O346" t="str">
        <f t="shared" si="5"/>
        <v>March</v>
      </c>
      <c r="P346" t="str">
        <f t="array" ref="P346">IF(COUNTIF('Cleaned Dataset'!$C$2:$C$1201,C346)&gt;1,"Yes","No")</f>
        <v>No</v>
      </c>
    </row>
    <row r="347" spans="1:16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  <c r="O347" t="str">
        <f t="shared" si="5"/>
        <v>December</v>
      </c>
      <c r="P347" t="str">
        <f t="array" ref="P347">IF(COUNTIF('Cleaned Dataset'!$C$2:$C$1201,C347)&gt;1,"Yes","No")</f>
        <v>No</v>
      </c>
    </row>
    <row r="348" spans="1:16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4320</v>
      </c>
      <c r="M348" s="2" t="s">
        <v>4279</v>
      </c>
      <c r="N348" s="2">
        <v>655.09</v>
      </c>
      <c r="O348" t="str">
        <f t="shared" si="5"/>
        <v>December</v>
      </c>
      <c r="P348" t="str">
        <f t="array" ref="P348">IF(COUNTIF('Cleaned Dataset'!$C$2:$C$1201,C348)&gt;1,"Yes","No")</f>
        <v>No</v>
      </c>
    </row>
    <row r="349" spans="1:16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  <c r="O349" t="str">
        <f t="shared" si="5"/>
        <v>February</v>
      </c>
      <c r="P349" t="str">
        <f t="array" ref="P349">IF(COUNTIF('Cleaned Dataset'!$C$2:$C$1201,C349)&gt;1,"Yes","No")</f>
        <v>No</v>
      </c>
    </row>
    <row r="350" spans="1:16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  <c r="O350" t="str">
        <f t="shared" si="5"/>
        <v>March</v>
      </c>
      <c r="P350" t="str">
        <f t="array" ref="P350">IF(COUNTIF('Cleaned Dataset'!$C$2:$C$1201,C350)&gt;1,"Yes","No")</f>
        <v>No</v>
      </c>
    </row>
    <row r="351" spans="1:16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  <c r="O351" t="str">
        <f t="shared" si="5"/>
        <v>November</v>
      </c>
      <c r="P351" t="str">
        <f t="array" ref="P351">IF(COUNTIF('Cleaned Dataset'!$C$2:$C$1201,C351)&gt;1,"Yes","No")</f>
        <v>No</v>
      </c>
    </row>
    <row r="352" spans="1:16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4320</v>
      </c>
      <c r="M352" s="2" t="s">
        <v>4278</v>
      </c>
      <c r="N352" s="2">
        <v>108.82</v>
      </c>
      <c r="O352" t="str">
        <f t="shared" si="5"/>
        <v>June</v>
      </c>
      <c r="P352" t="str">
        <f t="array" ref="P352">IF(COUNTIF('Cleaned Dataset'!$C$2:$C$1201,C352)&gt;1,"Yes","No")</f>
        <v>No</v>
      </c>
    </row>
    <row r="353" spans="1:16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4320</v>
      </c>
      <c r="M353" s="2" t="s">
        <v>4278</v>
      </c>
      <c r="N353" s="2">
        <v>64.66</v>
      </c>
      <c r="O353" t="str">
        <f t="shared" si="5"/>
        <v>February</v>
      </c>
      <c r="P353" t="str">
        <f t="array" ref="P353">IF(COUNTIF('Cleaned Dataset'!$C$2:$C$1201,C353)&gt;1,"Yes","No")</f>
        <v>No</v>
      </c>
    </row>
    <row r="354" spans="1:16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  <c r="O354" t="str">
        <f t="shared" si="5"/>
        <v>August</v>
      </c>
      <c r="P354" t="str">
        <f t="array" ref="P354">IF(COUNTIF('Cleaned Dataset'!$C$2:$C$1201,C354)&gt;1,"Yes","No")</f>
        <v>No</v>
      </c>
    </row>
    <row r="355" spans="1:16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  <c r="O355" t="str">
        <f t="shared" si="5"/>
        <v>March</v>
      </c>
      <c r="P355" t="str">
        <f t="array" ref="P355">IF(COUNTIF('Cleaned Dataset'!$C$2:$C$1201,C355)&gt;1,"Yes","No")</f>
        <v>No</v>
      </c>
    </row>
    <row r="356" spans="1:16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4320</v>
      </c>
      <c r="M356" s="2" t="s">
        <v>4278</v>
      </c>
      <c r="N356" s="2">
        <v>693.41</v>
      </c>
      <c r="O356" t="str">
        <f t="shared" si="5"/>
        <v>July</v>
      </c>
      <c r="P356" t="str">
        <f t="array" ref="P356">IF(COUNTIF('Cleaned Dataset'!$C$2:$C$1201,C356)&gt;1,"Yes","No")</f>
        <v>No</v>
      </c>
    </row>
    <row r="357" spans="1:16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  <c r="O357" t="str">
        <f t="shared" si="5"/>
        <v>June</v>
      </c>
      <c r="P357" t="str">
        <f t="array" ref="P357">IF(COUNTIF('Cleaned Dataset'!$C$2:$C$1201,C357)&gt;1,"Yes","No")</f>
        <v>No</v>
      </c>
    </row>
    <row r="358" spans="1:16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  <c r="O358" t="str">
        <f t="shared" si="5"/>
        <v>May</v>
      </c>
      <c r="P358" t="str">
        <f t="array" ref="P358">IF(COUNTIF('Cleaned Dataset'!$C$2:$C$1201,C358)&gt;1,"Yes","No")</f>
        <v>No</v>
      </c>
    </row>
    <row r="359" spans="1:16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  <c r="O359" t="str">
        <f t="shared" si="5"/>
        <v>July</v>
      </c>
      <c r="P359" t="str">
        <f t="array" ref="P359">IF(COUNTIF('Cleaned Dataset'!$C$2:$C$1201,C359)&gt;1,"Yes","No")</f>
        <v>No</v>
      </c>
    </row>
    <row r="360" spans="1:16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  <c r="O360" t="str">
        <f t="shared" si="5"/>
        <v>April</v>
      </c>
      <c r="P360" t="str">
        <f t="array" ref="P360">IF(COUNTIF('Cleaned Dataset'!$C$2:$C$1201,C360)&gt;1,"Yes","No")</f>
        <v>No</v>
      </c>
    </row>
    <row r="361" spans="1:16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  <c r="O361" t="str">
        <f t="shared" si="5"/>
        <v>June</v>
      </c>
      <c r="P361" t="str">
        <f t="array" ref="P361">IF(COUNTIF('Cleaned Dataset'!$C$2:$C$1201,C361)&gt;1,"Yes","No")</f>
        <v>No</v>
      </c>
    </row>
    <row r="362" spans="1:16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4320</v>
      </c>
      <c r="M362" s="2" t="s">
        <v>4278</v>
      </c>
      <c r="N362" s="2">
        <v>2358.2800000000002</v>
      </c>
      <c r="O362" t="str">
        <f t="shared" si="5"/>
        <v>June</v>
      </c>
      <c r="P362" t="str">
        <f t="array" ref="P362">IF(COUNTIF('Cleaned Dataset'!$C$2:$C$1201,C362)&gt;1,"Yes","No")</f>
        <v>No</v>
      </c>
    </row>
    <row r="363" spans="1:16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  <c r="O363" t="str">
        <f t="shared" si="5"/>
        <v>June</v>
      </c>
      <c r="P363" t="str">
        <f t="array" ref="P363">IF(COUNTIF('Cleaned Dataset'!$C$2:$C$1201,C363)&gt;1,"Yes","No")</f>
        <v>No</v>
      </c>
    </row>
    <row r="364" spans="1:16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  <c r="O364" t="str">
        <f t="shared" si="5"/>
        <v>June</v>
      </c>
      <c r="P364" t="str">
        <f t="array" ref="P364">IF(COUNTIF('Cleaned Dataset'!$C$2:$C$1201,C364)&gt;1,"Yes","No")</f>
        <v>No</v>
      </c>
    </row>
    <row r="365" spans="1:16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  <c r="O365" t="str">
        <f t="shared" si="5"/>
        <v>May</v>
      </c>
      <c r="P365" t="str">
        <f t="array" ref="P365">IF(COUNTIF('Cleaned Dataset'!$C$2:$C$1201,C365)&gt;1,"Yes","No")</f>
        <v>No</v>
      </c>
    </row>
    <row r="366" spans="1:16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  <c r="O366" t="str">
        <f t="shared" si="5"/>
        <v>November</v>
      </c>
      <c r="P366" t="str">
        <f t="array" ref="P366">IF(COUNTIF('Cleaned Dataset'!$C$2:$C$1201,C366)&gt;1,"Yes","No")</f>
        <v>No</v>
      </c>
    </row>
    <row r="367" spans="1:16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  <c r="O367" t="str">
        <f t="shared" si="5"/>
        <v>February</v>
      </c>
      <c r="P367" t="str">
        <f t="array" ref="P367">IF(COUNTIF('Cleaned Dataset'!$C$2:$C$1201,C367)&gt;1,"Yes","No")</f>
        <v>No</v>
      </c>
    </row>
    <row r="368" spans="1:16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4320</v>
      </c>
      <c r="M368" s="2" t="s">
        <v>4279</v>
      </c>
      <c r="N368" s="2">
        <v>1806.72</v>
      </c>
      <c r="O368" t="str">
        <f t="shared" si="5"/>
        <v>February</v>
      </c>
      <c r="P368" t="str">
        <f t="array" ref="P368">IF(COUNTIF('Cleaned Dataset'!$C$2:$C$1201,C368)&gt;1,"Yes","No")</f>
        <v>No</v>
      </c>
    </row>
    <row r="369" spans="1:16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  <c r="O369" t="str">
        <f t="shared" si="5"/>
        <v>April</v>
      </c>
      <c r="P369" t="str">
        <f t="array" ref="P369">IF(COUNTIF('Cleaned Dataset'!$C$2:$C$1201,C369)&gt;1,"Yes","No")</f>
        <v>No</v>
      </c>
    </row>
    <row r="370" spans="1:16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4320</v>
      </c>
      <c r="M370" s="2" t="s">
        <v>4282</v>
      </c>
      <c r="N370" s="2">
        <v>813.06</v>
      </c>
      <c r="O370" t="str">
        <f t="shared" si="5"/>
        <v>May</v>
      </c>
      <c r="P370" t="str">
        <f t="array" ref="P370">IF(COUNTIF('Cleaned Dataset'!$C$2:$C$1201,C370)&gt;1,"Yes","No")</f>
        <v>No</v>
      </c>
    </row>
    <row r="371" spans="1:16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  <c r="O371" t="str">
        <f t="shared" si="5"/>
        <v>December</v>
      </c>
      <c r="P371" t="str">
        <f t="array" ref="P371">IF(COUNTIF('Cleaned Dataset'!$C$2:$C$1201,C371)&gt;1,"Yes","No")</f>
        <v>No</v>
      </c>
    </row>
    <row r="372" spans="1:16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  <c r="O372" t="str">
        <f t="shared" si="5"/>
        <v>May</v>
      </c>
      <c r="P372" t="str">
        <f t="array" ref="P372">IF(COUNTIF('Cleaned Dataset'!$C$2:$C$1201,C372)&gt;1,"Yes","No")</f>
        <v>No</v>
      </c>
    </row>
    <row r="373" spans="1:16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  <c r="O373" t="str">
        <f t="shared" si="5"/>
        <v>January</v>
      </c>
      <c r="P373" t="str">
        <f t="array" ref="P373">IF(COUNTIF('Cleaned Dataset'!$C$2:$C$1201,C373)&gt;1,"Yes","No")</f>
        <v>No</v>
      </c>
    </row>
    <row r="374" spans="1:16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4320</v>
      </c>
      <c r="M374" s="2" t="s">
        <v>4279</v>
      </c>
      <c r="N374" s="2">
        <v>1450.59</v>
      </c>
      <c r="O374" t="str">
        <f t="shared" si="5"/>
        <v>February</v>
      </c>
      <c r="P374" t="str">
        <f t="array" ref="P374">IF(COUNTIF('Cleaned Dataset'!$C$2:$C$1201,C374)&gt;1,"Yes","No")</f>
        <v>No</v>
      </c>
    </row>
    <row r="375" spans="1:16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  <c r="O375" t="str">
        <f t="shared" si="5"/>
        <v>January</v>
      </c>
      <c r="P375" t="str">
        <f t="array" ref="P375">IF(COUNTIF('Cleaned Dataset'!$C$2:$C$1201,C375)&gt;1,"Yes","No")</f>
        <v>No</v>
      </c>
    </row>
    <row r="376" spans="1:16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  <c r="O376" t="str">
        <f t="shared" si="5"/>
        <v>September</v>
      </c>
      <c r="P376" t="str">
        <f t="array" ref="P376">IF(COUNTIF('Cleaned Dataset'!$C$2:$C$1201,C376)&gt;1,"Yes","No")</f>
        <v>No</v>
      </c>
    </row>
    <row r="377" spans="1:16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  <c r="O377" t="str">
        <f t="shared" si="5"/>
        <v>January</v>
      </c>
      <c r="P377" t="str">
        <f t="array" ref="P377">IF(COUNTIF('Cleaned Dataset'!$C$2:$C$1201,C377)&gt;1,"Yes","No")</f>
        <v>No</v>
      </c>
    </row>
    <row r="378" spans="1:16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  <c r="O378" t="str">
        <f t="shared" si="5"/>
        <v>August</v>
      </c>
      <c r="P378" t="str">
        <f t="array" ref="P378">IF(COUNTIF('Cleaned Dataset'!$C$2:$C$1201,C378)&gt;1,"Yes","No")</f>
        <v>No</v>
      </c>
    </row>
    <row r="379" spans="1:16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  <c r="O379" t="str">
        <f t="shared" si="5"/>
        <v>July</v>
      </c>
      <c r="P379" t="str">
        <f t="array" ref="P379">IF(COUNTIF('Cleaned Dataset'!$C$2:$C$1201,C379)&gt;1,"Yes","No")</f>
        <v>No</v>
      </c>
    </row>
    <row r="380" spans="1:16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  <c r="O380" t="str">
        <f t="shared" si="5"/>
        <v>February</v>
      </c>
      <c r="P380" t="str">
        <f t="array" ref="P380">IF(COUNTIF('Cleaned Dataset'!$C$2:$C$1201,C380)&gt;1,"Yes","No")</f>
        <v>No</v>
      </c>
    </row>
    <row r="381" spans="1:16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4320</v>
      </c>
      <c r="M381" s="2" t="s">
        <v>4282</v>
      </c>
      <c r="N381" s="2">
        <v>893.01</v>
      </c>
      <c r="O381" t="str">
        <f t="shared" si="5"/>
        <v>September</v>
      </c>
      <c r="P381" t="str">
        <f t="array" ref="P381">IF(COUNTIF('Cleaned Dataset'!$C$2:$C$1201,C381)&gt;1,"Yes","No")</f>
        <v>No</v>
      </c>
    </row>
    <row r="382" spans="1:16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  <c r="O382" t="str">
        <f t="shared" si="5"/>
        <v>April</v>
      </c>
      <c r="P382" t="str">
        <f t="array" ref="P382">IF(COUNTIF('Cleaned Dataset'!$C$2:$C$1201,C382)&gt;1,"Yes","No")</f>
        <v>No</v>
      </c>
    </row>
    <row r="383" spans="1:16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  <c r="O383" t="str">
        <f t="shared" si="5"/>
        <v>June</v>
      </c>
      <c r="P383" t="str">
        <f t="array" ref="P383">IF(COUNTIF('Cleaned Dataset'!$C$2:$C$1201,C383)&gt;1,"Yes","No")</f>
        <v>No</v>
      </c>
    </row>
    <row r="384" spans="1:16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  <c r="O384" t="str">
        <f t="shared" si="5"/>
        <v>January</v>
      </c>
      <c r="P384" t="str">
        <f t="array" ref="P384">IF(COUNTIF('Cleaned Dataset'!$C$2:$C$1201,C384)&gt;1,"Yes","No")</f>
        <v>No</v>
      </c>
    </row>
    <row r="385" spans="1:16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  <c r="O385" t="str">
        <f t="shared" si="5"/>
        <v>January</v>
      </c>
      <c r="P385" t="str">
        <f t="array" ref="P385">IF(COUNTIF('Cleaned Dataset'!$C$2:$C$1201,C385)&gt;1,"Yes","No")</f>
        <v>No</v>
      </c>
    </row>
    <row r="386" spans="1:16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  <c r="O386" t="str">
        <f t="shared" si="5"/>
        <v>November</v>
      </c>
      <c r="P386" t="str">
        <f t="array" ref="P386">IF(COUNTIF('Cleaned Dataset'!$C$2:$C$1201,C386)&gt;1,"Yes","No")</f>
        <v>No</v>
      </c>
    </row>
    <row r="387" spans="1:16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  <c r="O387" t="str">
        <f t="shared" ref="O387:O450" si="6">TEXT(B387,"mmmm")</f>
        <v>October</v>
      </c>
      <c r="P387" t="str">
        <f t="array" ref="P387">IF(COUNTIF('Cleaned Dataset'!$C$2:$C$1201,C387)&gt;1,"Yes","No")</f>
        <v>No</v>
      </c>
    </row>
    <row r="388" spans="1:16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4320</v>
      </c>
      <c r="M388" s="2" t="s">
        <v>4280</v>
      </c>
      <c r="N388" s="2">
        <v>93.02</v>
      </c>
      <c r="O388" t="str">
        <f t="shared" si="6"/>
        <v>April</v>
      </c>
      <c r="P388" t="str">
        <f t="array" ref="P388">IF(COUNTIF('Cleaned Dataset'!$C$2:$C$1201,C388)&gt;1,"Yes","No")</f>
        <v>No</v>
      </c>
    </row>
    <row r="389" spans="1:16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  <c r="O389" t="str">
        <f t="shared" si="6"/>
        <v>June</v>
      </c>
      <c r="P389" t="str">
        <f t="array" ref="P389">IF(COUNTIF('Cleaned Dataset'!$C$2:$C$1201,C389)&gt;1,"Yes","No")</f>
        <v>No</v>
      </c>
    </row>
    <row r="390" spans="1:16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  <c r="O390" t="str">
        <f t="shared" si="6"/>
        <v>December</v>
      </c>
      <c r="P390" t="str">
        <f t="array" ref="P390">IF(COUNTIF('Cleaned Dataset'!$C$2:$C$1201,C390)&gt;1,"Yes","No")</f>
        <v>No</v>
      </c>
    </row>
    <row r="391" spans="1:16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  <c r="O391" t="str">
        <f t="shared" si="6"/>
        <v>December</v>
      </c>
      <c r="P391" t="str">
        <f t="array" ref="P391">IF(COUNTIF('Cleaned Dataset'!$C$2:$C$1201,C391)&gt;1,"Yes","No")</f>
        <v>No</v>
      </c>
    </row>
    <row r="392" spans="1:16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  <c r="O392" t="str">
        <f t="shared" si="6"/>
        <v>July</v>
      </c>
      <c r="P392" t="str">
        <f t="array" ref="P392">IF(COUNTIF('Cleaned Dataset'!$C$2:$C$1201,C392)&gt;1,"Yes","No")</f>
        <v>No</v>
      </c>
    </row>
    <row r="393" spans="1:16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  <c r="O393" t="str">
        <f t="shared" si="6"/>
        <v>January</v>
      </c>
      <c r="P393" t="str">
        <f t="array" ref="P393">IF(COUNTIF('Cleaned Dataset'!$C$2:$C$1201,C393)&gt;1,"Yes","No")</f>
        <v>No</v>
      </c>
    </row>
    <row r="394" spans="1:16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  <c r="O394" t="str">
        <f t="shared" si="6"/>
        <v>February</v>
      </c>
      <c r="P394" t="str">
        <f t="array" ref="P394">IF(COUNTIF('Cleaned Dataset'!$C$2:$C$1201,C394)&gt;1,"Yes","No")</f>
        <v>No</v>
      </c>
    </row>
    <row r="395" spans="1:16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4320</v>
      </c>
      <c r="M395" s="2" t="s">
        <v>4282</v>
      </c>
      <c r="N395" s="2">
        <v>75.010000000000005</v>
      </c>
      <c r="O395" t="str">
        <f t="shared" si="6"/>
        <v>July</v>
      </c>
      <c r="P395" t="str">
        <f t="array" ref="P395">IF(COUNTIF('Cleaned Dataset'!$C$2:$C$1201,C395)&gt;1,"Yes","No")</f>
        <v>No</v>
      </c>
    </row>
    <row r="396" spans="1:16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4320</v>
      </c>
      <c r="M396" s="2" t="s">
        <v>4281</v>
      </c>
      <c r="N396" s="2">
        <v>2647.75</v>
      </c>
      <c r="O396" t="str">
        <f t="shared" si="6"/>
        <v>July</v>
      </c>
      <c r="P396" t="str">
        <f t="array" ref="P396">IF(COUNTIF('Cleaned Dataset'!$C$2:$C$1201,C396)&gt;1,"Yes","No")</f>
        <v>No</v>
      </c>
    </row>
    <row r="397" spans="1:16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  <c r="O397" t="str">
        <f t="shared" si="6"/>
        <v>April</v>
      </c>
      <c r="P397" t="str">
        <f t="array" ref="P397">IF(COUNTIF('Cleaned Dataset'!$C$2:$C$1201,C397)&gt;1,"Yes","No")</f>
        <v>No</v>
      </c>
    </row>
    <row r="398" spans="1:16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  <c r="O398" t="str">
        <f t="shared" si="6"/>
        <v>December</v>
      </c>
      <c r="P398" t="str">
        <f t="array" ref="P398">IF(COUNTIF('Cleaned Dataset'!$C$2:$C$1201,C398)&gt;1,"Yes","No")</f>
        <v>No</v>
      </c>
    </row>
    <row r="399" spans="1:16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  <c r="O399" t="str">
        <f t="shared" si="6"/>
        <v>September</v>
      </c>
      <c r="P399" t="str">
        <f t="array" ref="P399">IF(COUNTIF('Cleaned Dataset'!$C$2:$C$1201,C399)&gt;1,"Yes","No")</f>
        <v>No</v>
      </c>
    </row>
    <row r="400" spans="1:16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  <c r="O400" t="str">
        <f t="shared" si="6"/>
        <v>September</v>
      </c>
      <c r="P400" t="str">
        <f t="array" ref="P400">IF(COUNTIF('Cleaned Dataset'!$C$2:$C$1201,C400)&gt;1,"Yes","No")</f>
        <v>No</v>
      </c>
    </row>
    <row r="401" spans="1:16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  <c r="O401" t="str">
        <f t="shared" si="6"/>
        <v>January</v>
      </c>
      <c r="P401" t="str">
        <f t="array" ref="P401">IF(COUNTIF('Cleaned Dataset'!$C$2:$C$1201,C401)&gt;1,"Yes","No")</f>
        <v>No</v>
      </c>
    </row>
    <row r="402" spans="1:16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  <c r="O402" t="str">
        <f t="shared" si="6"/>
        <v>September</v>
      </c>
      <c r="P402" t="str">
        <f t="array" ref="P402">IF(COUNTIF('Cleaned Dataset'!$C$2:$C$1201,C402)&gt;1,"Yes","No")</f>
        <v>No</v>
      </c>
    </row>
    <row r="403" spans="1:16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4320</v>
      </c>
      <c r="M403" s="2" t="s">
        <v>4279</v>
      </c>
      <c r="N403" s="2">
        <v>538.67999999999995</v>
      </c>
      <c r="O403" t="str">
        <f t="shared" si="6"/>
        <v>April</v>
      </c>
      <c r="P403" t="str">
        <f t="array" ref="P403">IF(COUNTIF('Cleaned Dataset'!$C$2:$C$1201,C403)&gt;1,"Yes","No")</f>
        <v>No</v>
      </c>
    </row>
    <row r="404" spans="1:16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4320</v>
      </c>
      <c r="M404" s="2" t="s">
        <v>4279</v>
      </c>
      <c r="N404" s="2">
        <v>1686.9</v>
      </c>
      <c r="O404" t="str">
        <f t="shared" si="6"/>
        <v>April</v>
      </c>
      <c r="P404" t="str">
        <f t="array" ref="P404">IF(COUNTIF('Cleaned Dataset'!$C$2:$C$1201,C404)&gt;1,"Yes","No")</f>
        <v>No</v>
      </c>
    </row>
    <row r="405" spans="1:16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  <c r="O405" t="str">
        <f t="shared" si="6"/>
        <v>November</v>
      </c>
      <c r="P405" t="str">
        <f t="array" ref="P405">IF(COUNTIF('Cleaned Dataset'!$C$2:$C$1201,C405)&gt;1,"Yes","No")</f>
        <v>No</v>
      </c>
    </row>
    <row r="406" spans="1:16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4320</v>
      </c>
      <c r="M406" s="2" t="s">
        <v>4278</v>
      </c>
      <c r="N406" s="2">
        <v>198.2</v>
      </c>
      <c r="O406" t="str">
        <f t="shared" si="6"/>
        <v>March</v>
      </c>
      <c r="P406" t="str">
        <f t="array" ref="P406">IF(COUNTIF('Cleaned Dataset'!$C$2:$C$1201,C406)&gt;1,"Yes","No")</f>
        <v>No</v>
      </c>
    </row>
    <row r="407" spans="1:16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  <c r="O407" t="str">
        <f t="shared" si="6"/>
        <v>January</v>
      </c>
      <c r="P407" t="str">
        <f t="array" ref="P407">IF(COUNTIF('Cleaned Dataset'!$C$2:$C$1201,C407)&gt;1,"Yes","No")</f>
        <v>No</v>
      </c>
    </row>
    <row r="408" spans="1:16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  <c r="O408" t="str">
        <f t="shared" si="6"/>
        <v>December</v>
      </c>
      <c r="P408" t="str">
        <f t="array" ref="P408">IF(COUNTIF('Cleaned Dataset'!$C$2:$C$1201,C408)&gt;1,"Yes","No")</f>
        <v>No</v>
      </c>
    </row>
    <row r="409" spans="1:16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  <c r="O409" t="str">
        <f t="shared" si="6"/>
        <v>August</v>
      </c>
      <c r="P409" t="str">
        <f t="array" ref="P409">IF(COUNTIF('Cleaned Dataset'!$C$2:$C$1201,C409)&gt;1,"Yes","No")</f>
        <v>No</v>
      </c>
    </row>
    <row r="410" spans="1:16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  <c r="O410" t="str">
        <f t="shared" si="6"/>
        <v>January</v>
      </c>
      <c r="P410" t="str">
        <f t="array" ref="P410">IF(COUNTIF('Cleaned Dataset'!$C$2:$C$1201,C410)&gt;1,"Yes","No")</f>
        <v>No</v>
      </c>
    </row>
    <row r="411" spans="1:16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  <c r="O411" t="str">
        <f t="shared" si="6"/>
        <v>June</v>
      </c>
      <c r="P411" t="str">
        <f t="array" ref="P411">IF(COUNTIF('Cleaned Dataset'!$C$2:$C$1201,C411)&gt;1,"Yes","No")</f>
        <v>No</v>
      </c>
    </row>
    <row r="412" spans="1:16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4320</v>
      </c>
      <c r="M412" s="2" t="s">
        <v>4280</v>
      </c>
      <c r="N412" s="2">
        <v>1036.46</v>
      </c>
      <c r="O412" t="str">
        <f t="shared" si="6"/>
        <v>January</v>
      </c>
      <c r="P412" t="str">
        <f t="array" ref="P412">IF(COUNTIF('Cleaned Dataset'!$C$2:$C$1201,C412)&gt;1,"Yes","No")</f>
        <v>No</v>
      </c>
    </row>
    <row r="413" spans="1:16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4320</v>
      </c>
      <c r="M413" s="2" t="s">
        <v>4281</v>
      </c>
      <c r="N413" s="2">
        <v>79.02</v>
      </c>
      <c r="O413" t="str">
        <f t="shared" si="6"/>
        <v>June</v>
      </c>
      <c r="P413" t="str">
        <f t="array" ref="P413">IF(COUNTIF('Cleaned Dataset'!$C$2:$C$1201,C413)&gt;1,"Yes","No")</f>
        <v>No</v>
      </c>
    </row>
    <row r="414" spans="1:16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4320</v>
      </c>
      <c r="M414" s="2" t="s">
        <v>4281</v>
      </c>
      <c r="N414" s="2">
        <v>665.05</v>
      </c>
      <c r="O414" t="str">
        <f t="shared" si="6"/>
        <v>April</v>
      </c>
      <c r="P414" t="str">
        <f t="array" ref="P414">IF(COUNTIF('Cleaned Dataset'!$C$2:$C$1201,C414)&gt;1,"Yes","No")</f>
        <v>No</v>
      </c>
    </row>
    <row r="415" spans="1:16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  <c r="O415" t="str">
        <f t="shared" si="6"/>
        <v>October</v>
      </c>
      <c r="P415" t="str">
        <f t="array" ref="P415">IF(COUNTIF('Cleaned Dataset'!$C$2:$C$1201,C415)&gt;1,"Yes","No")</f>
        <v>No</v>
      </c>
    </row>
    <row r="416" spans="1:16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  <c r="O416" t="str">
        <f t="shared" si="6"/>
        <v>May</v>
      </c>
      <c r="P416" t="str">
        <f t="array" ref="P416">IF(COUNTIF('Cleaned Dataset'!$C$2:$C$1201,C416)&gt;1,"Yes","No")</f>
        <v>No</v>
      </c>
    </row>
    <row r="417" spans="1:16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  <c r="O417" t="str">
        <f t="shared" si="6"/>
        <v>April</v>
      </c>
      <c r="P417" t="str">
        <f t="array" ref="P417">IF(COUNTIF('Cleaned Dataset'!$C$2:$C$1201,C417)&gt;1,"Yes","No")</f>
        <v>No</v>
      </c>
    </row>
    <row r="418" spans="1:16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  <c r="O418" t="str">
        <f t="shared" si="6"/>
        <v>July</v>
      </c>
      <c r="P418" t="str">
        <f t="array" ref="P418">IF(COUNTIF('Cleaned Dataset'!$C$2:$C$1201,C418)&gt;1,"Yes","No")</f>
        <v>No</v>
      </c>
    </row>
    <row r="419" spans="1:16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4320</v>
      </c>
      <c r="M419" s="2" t="s">
        <v>4282</v>
      </c>
      <c r="N419" s="2">
        <v>277.05</v>
      </c>
      <c r="O419" t="str">
        <f t="shared" si="6"/>
        <v>October</v>
      </c>
      <c r="P419" t="str">
        <f t="array" ref="P419">IF(COUNTIF('Cleaned Dataset'!$C$2:$C$1201,C419)&gt;1,"Yes","No")</f>
        <v>No</v>
      </c>
    </row>
    <row r="420" spans="1:16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4320</v>
      </c>
      <c r="M420" s="2" t="s">
        <v>4281</v>
      </c>
      <c r="N420" s="2">
        <v>310.93</v>
      </c>
      <c r="O420" t="str">
        <f t="shared" si="6"/>
        <v>January</v>
      </c>
      <c r="P420" t="str">
        <f t="array" ref="P420">IF(COUNTIF('Cleaned Dataset'!$C$2:$C$1201,C420)&gt;1,"Yes","No")</f>
        <v>No</v>
      </c>
    </row>
    <row r="421" spans="1:16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  <c r="O421" t="str">
        <f t="shared" si="6"/>
        <v>April</v>
      </c>
      <c r="P421" t="str">
        <f t="array" ref="P421">IF(COUNTIF('Cleaned Dataset'!$C$2:$C$1201,C421)&gt;1,"Yes","No")</f>
        <v>No</v>
      </c>
    </row>
    <row r="422" spans="1:16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  <c r="O422" t="str">
        <f t="shared" si="6"/>
        <v>November</v>
      </c>
      <c r="P422" t="str">
        <f t="array" ref="P422">IF(COUNTIF('Cleaned Dataset'!$C$2:$C$1201,C422)&gt;1,"Yes","No")</f>
        <v>No</v>
      </c>
    </row>
    <row r="423" spans="1:16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4320</v>
      </c>
      <c r="M423" s="2" t="s">
        <v>4280</v>
      </c>
      <c r="N423" s="2">
        <v>576.41999999999996</v>
      </c>
      <c r="O423" t="str">
        <f t="shared" si="6"/>
        <v>October</v>
      </c>
      <c r="P423" t="str">
        <f t="array" ref="P423">IF(COUNTIF('Cleaned Dataset'!$C$2:$C$1201,C423)&gt;1,"Yes","No")</f>
        <v>No</v>
      </c>
    </row>
    <row r="424" spans="1:16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  <c r="O424" t="str">
        <f t="shared" si="6"/>
        <v>June</v>
      </c>
      <c r="P424" t="str">
        <f t="array" ref="P424">IF(COUNTIF('Cleaned Dataset'!$C$2:$C$1201,C424)&gt;1,"Yes","No")</f>
        <v>No</v>
      </c>
    </row>
    <row r="425" spans="1:16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  <c r="O425" t="str">
        <f t="shared" si="6"/>
        <v>July</v>
      </c>
      <c r="P425" t="str">
        <f t="array" ref="P425">IF(COUNTIF('Cleaned Dataset'!$C$2:$C$1201,C425)&gt;1,"Yes","No")</f>
        <v>No</v>
      </c>
    </row>
    <row r="426" spans="1:16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4320</v>
      </c>
      <c r="M426" s="2" t="s">
        <v>4280</v>
      </c>
      <c r="N426" s="2">
        <v>114.7</v>
      </c>
      <c r="O426" t="str">
        <f t="shared" si="6"/>
        <v>April</v>
      </c>
      <c r="P426" t="str">
        <f t="array" ref="P426">IF(COUNTIF('Cleaned Dataset'!$C$2:$C$1201,C426)&gt;1,"Yes","No")</f>
        <v>No</v>
      </c>
    </row>
    <row r="427" spans="1:16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  <c r="O427" t="str">
        <f t="shared" si="6"/>
        <v>March</v>
      </c>
      <c r="P427" t="str">
        <f t="array" ref="P427">IF(COUNTIF('Cleaned Dataset'!$C$2:$C$1201,C427)&gt;1,"Yes","No")</f>
        <v>No</v>
      </c>
    </row>
    <row r="428" spans="1:16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4320</v>
      </c>
      <c r="M428" s="2" t="s">
        <v>4281</v>
      </c>
      <c r="N428" s="2">
        <v>287.25</v>
      </c>
      <c r="O428" t="str">
        <f t="shared" si="6"/>
        <v>March</v>
      </c>
      <c r="P428" t="str">
        <f t="array" ref="P428">IF(COUNTIF('Cleaned Dataset'!$C$2:$C$1201,C428)&gt;1,"Yes","No")</f>
        <v>No</v>
      </c>
    </row>
    <row r="429" spans="1:16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  <c r="O429" t="str">
        <f t="shared" si="6"/>
        <v>December</v>
      </c>
      <c r="P429" t="str">
        <f t="array" ref="P429">IF(COUNTIF('Cleaned Dataset'!$C$2:$C$1201,C429)&gt;1,"Yes","No")</f>
        <v>No</v>
      </c>
    </row>
    <row r="430" spans="1:16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  <c r="O430" t="str">
        <f t="shared" si="6"/>
        <v>November</v>
      </c>
      <c r="P430" t="str">
        <f t="array" ref="P430">IF(COUNTIF('Cleaned Dataset'!$C$2:$C$1201,C430)&gt;1,"Yes","No")</f>
        <v>No</v>
      </c>
    </row>
    <row r="431" spans="1:16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  <c r="O431" t="str">
        <f t="shared" si="6"/>
        <v>December</v>
      </c>
      <c r="P431" t="str">
        <f t="array" ref="P431">IF(COUNTIF('Cleaned Dataset'!$C$2:$C$1201,C431)&gt;1,"Yes","No")</f>
        <v>No</v>
      </c>
    </row>
    <row r="432" spans="1:16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  <c r="O432" t="str">
        <f t="shared" si="6"/>
        <v>June</v>
      </c>
      <c r="P432" t="str">
        <f t="array" ref="P432">IF(COUNTIF('Cleaned Dataset'!$C$2:$C$1201,C432)&gt;1,"Yes","No")</f>
        <v>No</v>
      </c>
    </row>
    <row r="433" spans="1:16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  <c r="O433" t="str">
        <f t="shared" si="6"/>
        <v>October</v>
      </c>
      <c r="P433" t="str">
        <f t="array" ref="P433">IF(COUNTIF('Cleaned Dataset'!$C$2:$C$1201,C433)&gt;1,"Yes","No")</f>
        <v>No</v>
      </c>
    </row>
    <row r="434" spans="1:16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4320</v>
      </c>
      <c r="M434" s="2" t="s">
        <v>4279</v>
      </c>
      <c r="N434" s="2">
        <v>848.64</v>
      </c>
      <c r="O434" t="str">
        <f t="shared" si="6"/>
        <v>September</v>
      </c>
      <c r="P434" t="str">
        <f t="array" ref="P434">IF(COUNTIF('Cleaned Dataset'!$C$2:$C$1201,C434)&gt;1,"Yes","No")</f>
        <v>No</v>
      </c>
    </row>
    <row r="435" spans="1:16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  <c r="O435" t="str">
        <f t="shared" si="6"/>
        <v>August</v>
      </c>
      <c r="P435" t="str">
        <f t="array" ref="P435">IF(COUNTIF('Cleaned Dataset'!$C$2:$C$1201,C435)&gt;1,"Yes","No")</f>
        <v>No</v>
      </c>
    </row>
    <row r="436" spans="1:16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4320</v>
      </c>
      <c r="M436" s="2" t="s">
        <v>4281</v>
      </c>
      <c r="N436" s="2">
        <v>1638.4</v>
      </c>
      <c r="O436" t="str">
        <f t="shared" si="6"/>
        <v>October</v>
      </c>
      <c r="P436" t="str">
        <f t="array" ref="P436">IF(COUNTIF('Cleaned Dataset'!$C$2:$C$1201,C436)&gt;1,"Yes","No")</f>
        <v>No</v>
      </c>
    </row>
    <row r="437" spans="1:16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  <c r="O437" t="str">
        <f t="shared" si="6"/>
        <v>May</v>
      </c>
      <c r="P437" t="str">
        <f t="array" ref="P437">IF(COUNTIF('Cleaned Dataset'!$C$2:$C$1201,C437)&gt;1,"Yes","No")</f>
        <v>No</v>
      </c>
    </row>
    <row r="438" spans="1:16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4320</v>
      </c>
      <c r="M438" s="2" t="s">
        <v>4282</v>
      </c>
      <c r="N438" s="2">
        <v>885.32</v>
      </c>
      <c r="O438" t="str">
        <f t="shared" si="6"/>
        <v>February</v>
      </c>
      <c r="P438" t="str">
        <f t="array" ref="P438">IF(COUNTIF('Cleaned Dataset'!$C$2:$C$1201,C438)&gt;1,"Yes","No")</f>
        <v>No</v>
      </c>
    </row>
    <row r="439" spans="1:16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  <c r="O439" t="str">
        <f t="shared" si="6"/>
        <v>April</v>
      </c>
      <c r="P439" t="str">
        <f t="array" ref="P439">IF(COUNTIF('Cleaned Dataset'!$C$2:$C$1201,C439)&gt;1,"Yes","No")</f>
        <v>No</v>
      </c>
    </row>
    <row r="440" spans="1:16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  <c r="O440" t="str">
        <f t="shared" si="6"/>
        <v>January</v>
      </c>
      <c r="P440" t="str">
        <f t="array" ref="P440">IF(COUNTIF('Cleaned Dataset'!$C$2:$C$1201,C440)&gt;1,"Yes","No")</f>
        <v>No</v>
      </c>
    </row>
    <row r="441" spans="1:16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  <c r="O441" t="str">
        <f t="shared" si="6"/>
        <v>September</v>
      </c>
      <c r="P441" t="str">
        <f t="array" ref="P441">IF(COUNTIF('Cleaned Dataset'!$C$2:$C$1201,C441)&gt;1,"Yes","No")</f>
        <v>Yes</v>
      </c>
    </row>
    <row r="442" spans="1:16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  <c r="O442" t="str">
        <f t="shared" si="6"/>
        <v>November</v>
      </c>
      <c r="P442" t="str">
        <f t="array" ref="P442">IF(COUNTIF('Cleaned Dataset'!$C$2:$C$1201,C442)&gt;1,"Yes","No")</f>
        <v>No</v>
      </c>
    </row>
    <row r="443" spans="1:16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  <c r="O443" t="str">
        <f t="shared" si="6"/>
        <v>December</v>
      </c>
      <c r="P443" t="str">
        <f t="array" ref="P443">IF(COUNTIF('Cleaned Dataset'!$C$2:$C$1201,C443)&gt;1,"Yes","No")</f>
        <v>No</v>
      </c>
    </row>
    <row r="444" spans="1:16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  <c r="O444" t="str">
        <f t="shared" si="6"/>
        <v>May</v>
      </c>
      <c r="P444" t="str">
        <f t="array" ref="P444">IF(COUNTIF('Cleaned Dataset'!$C$2:$C$1201,C444)&gt;1,"Yes","No")</f>
        <v>No</v>
      </c>
    </row>
    <row r="445" spans="1:16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4320</v>
      </c>
      <c r="M445" s="2" t="s">
        <v>4281</v>
      </c>
      <c r="N445" s="2">
        <v>139.28</v>
      </c>
      <c r="O445" t="str">
        <f t="shared" si="6"/>
        <v>May</v>
      </c>
      <c r="P445" t="str">
        <f t="array" ref="P445">IF(COUNTIF('Cleaned Dataset'!$C$2:$C$1201,C445)&gt;1,"Yes","No")</f>
        <v>No</v>
      </c>
    </row>
    <row r="446" spans="1:16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  <c r="O446" t="str">
        <f t="shared" si="6"/>
        <v>June</v>
      </c>
      <c r="P446" t="str">
        <f t="array" ref="P446">IF(COUNTIF('Cleaned Dataset'!$C$2:$C$1201,C446)&gt;1,"Yes","No")</f>
        <v>No</v>
      </c>
    </row>
    <row r="447" spans="1:16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  <c r="O447" t="str">
        <f t="shared" si="6"/>
        <v>March</v>
      </c>
      <c r="P447" t="str">
        <f t="array" ref="P447">IF(COUNTIF('Cleaned Dataset'!$C$2:$C$1201,C447)&gt;1,"Yes","No")</f>
        <v>Yes</v>
      </c>
    </row>
    <row r="448" spans="1:16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  <c r="O448" t="str">
        <f t="shared" si="6"/>
        <v>October</v>
      </c>
      <c r="P448" t="str">
        <f t="array" ref="P448">IF(COUNTIF('Cleaned Dataset'!$C$2:$C$1201,C448)&gt;1,"Yes","No")</f>
        <v>No</v>
      </c>
    </row>
    <row r="449" spans="1:16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4320</v>
      </c>
      <c r="M449" s="2" t="s">
        <v>4281</v>
      </c>
      <c r="N449" s="2">
        <v>833.62</v>
      </c>
      <c r="O449" t="str">
        <f t="shared" si="6"/>
        <v>April</v>
      </c>
      <c r="P449" t="str">
        <f t="array" ref="P449">IF(COUNTIF('Cleaned Dataset'!$C$2:$C$1201,C449)&gt;1,"Yes","No")</f>
        <v>No</v>
      </c>
    </row>
    <row r="450" spans="1:16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  <c r="O450" t="str">
        <f t="shared" si="6"/>
        <v>September</v>
      </c>
      <c r="P450" t="str">
        <f t="array" ref="P450">IF(COUNTIF('Cleaned Dataset'!$C$2:$C$1201,C450)&gt;1,"Yes","No")</f>
        <v>No</v>
      </c>
    </row>
    <row r="451" spans="1:16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4320</v>
      </c>
      <c r="M451" s="2" t="s">
        <v>4278</v>
      </c>
      <c r="N451" s="2">
        <v>759.15000000000009</v>
      </c>
      <c r="O451" t="str">
        <f t="shared" ref="O451:O514" si="7">TEXT(B451,"mmmm")</f>
        <v>August</v>
      </c>
      <c r="P451" t="str">
        <f t="array" ref="P451">IF(COUNTIF('Cleaned Dataset'!$C$2:$C$1201,C451)&gt;1,"Yes","No")</f>
        <v>No</v>
      </c>
    </row>
    <row r="452" spans="1:16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  <c r="O452" t="str">
        <f t="shared" si="7"/>
        <v>January</v>
      </c>
      <c r="P452" t="str">
        <f t="array" ref="P452">IF(COUNTIF('Cleaned Dataset'!$C$2:$C$1201,C452)&gt;1,"Yes","No")</f>
        <v>No</v>
      </c>
    </row>
    <row r="453" spans="1:16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  <c r="O453" t="str">
        <f t="shared" si="7"/>
        <v>April</v>
      </c>
      <c r="P453" t="str">
        <f t="array" ref="P453">IF(COUNTIF('Cleaned Dataset'!$C$2:$C$1201,C453)&gt;1,"Yes","No")</f>
        <v>No</v>
      </c>
    </row>
    <row r="454" spans="1:16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  <c r="O454" t="str">
        <f t="shared" si="7"/>
        <v>July</v>
      </c>
      <c r="P454" t="str">
        <f t="array" ref="P454">IF(COUNTIF('Cleaned Dataset'!$C$2:$C$1201,C454)&gt;1,"Yes","No")</f>
        <v>No</v>
      </c>
    </row>
    <row r="455" spans="1:16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  <c r="O455" t="str">
        <f t="shared" si="7"/>
        <v>May</v>
      </c>
      <c r="P455" t="str">
        <f t="array" ref="P455">IF(COUNTIF('Cleaned Dataset'!$C$2:$C$1201,C455)&gt;1,"Yes","No")</f>
        <v>No</v>
      </c>
    </row>
    <row r="456" spans="1:16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  <c r="O456" t="str">
        <f t="shared" si="7"/>
        <v>November</v>
      </c>
      <c r="P456" t="str">
        <f t="array" ref="P456">IF(COUNTIF('Cleaned Dataset'!$C$2:$C$1201,C456)&gt;1,"Yes","No")</f>
        <v>No</v>
      </c>
    </row>
    <row r="457" spans="1:16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  <c r="O457" t="str">
        <f t="shared" si="7"/>
        <v>March</v>
      </c>
      <c r="P457" t="str">
        <f t="array" ref="P457">IF(COUNTIF('Cleaned Dataset'!$C$2:$C$1201,C457)&gt;1,"Yes","No")</f>
        <v>No</v>
      </c>
    </row>
    <row r="458" spans="1:16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  <c r="O458" t="str">
        <f t="shared" si="7"/>
        <v>June</v>
      </c>
      <c r="P458" t="str">
        <f t="array" ref="P458">IF(COUNTIF('Cleaned Dataset'!$C$2:$C$1201,C458)&gt;1,"Yes","No")</f>
        <v>No</v>
      </c>
    </row>
    <row r="459" spans="1:16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  <c r="O459" t="str">
        <f t="shared" si="7"/>
        <v>May</v>
      </c>
      <c r="P459" t="str">
        <f t="array" ref="P459">IF(COUNTIF('Cleaned Dataset'!$C$2:$C$1201,C459)&gt;1,"Yes","No")</f>
        <v>No</v>
      </c>
    </row>
    <row r="460" spans="1:16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  <c r="O460" t="str">
        <f t="shared" si="7"/>
        <v>July</v>
      </c>
      <c r="P460" t="str">
        <f t="array" ref="P460">IF(COUNTIF('Cleaned Dataset'!$C$2:$C$1201,C460)&gt;1,"Yes","No")</f>
        <v>No</v>
      </c>
    </row>
    <row r="461" spans="1:16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4320</v>
      </c>
      <c r="M461" s="2" t="s">
        <v>4278</v>
      </c>
      <c r="N461" s="2">
        <v>334.39</v>
      </c>
      <c r="O461" t="str">
        <f t="shared" si="7"/>
        <v>July</v>
      </c>
      <c r="P461" t="str">
        <f t="array" ref="P461">IF(COUNTIF('Cleaned Dataset'!$C$2:$C$1201,C461)&gt;1,"Yes","No")</f>
        <v>No</v>
      </c>
    </row>
    <row r="462" spans="1:16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  <c r="O462" t="str">
        <f t="shared" si="7"/>
        <v>October</v>
      </c>
      <c r="P462" t="str">
        <f t="array" ref="P462">IF(COUNTIF('Cleaned Dataset'!$C$2:$C$1201,C462)&gt;1,"Yes","No")</f>
        <v>No</v>
      </c>
    </row>
    <row r="463" spans="1:16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  <c r="O463" t="str">
        <f t="shared" si="7"/>
        <v>June</v>
      </c>
      <c r="P463" t="str">
        <f t="array" ref="P463">IF(COUNTIF('Cleaned Dataset'!$C$2:$C$1201,C463)&gt;1,"Yes","No")</f>
        <v>No</v>
      </c>
    </row>
    <row r="464" spans="1:16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4320</v>
      </c>
      <c r="M464" s="2" t="s">
        <v>4279</v>
      </c>
      <c r="N464" s="2">
        <v>252.68</v>
      </c>
      <c r="O464" t="str">
        <f t="shared" si="7"/>
        <v>March</v>
      </c>
      <c r="P464" t="str">
        <f t="array" ref="P464">IF(COUNTIF('Cleaned Dataset'!$C$2:$C$1201,C464)&gt;1,"Yes","No")</f>
        <v>No</v>
      </c>
    </row>
    <row r="465" spans="1:16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  <c r="O465" t="str">
        <f t="shared" si="7"/>
        <v>May</v>
      </c>
      <c r="P465" t="str">
        <f t="array" ref="P465">IF(COUNTIF('Cleaned Dataset'!$C$2:$C$1201,C465)&gt;1,"Yes","No")</f>
        <v>No</v>
      </c>
    </row>
    <row r="466" spans="1:16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  <c r="O466" t="str">
        <f t="shared" si="7"/>
        <v>March</v>
      </c>
      <c r="P466" t="str">
        <f t="array" ref="P466">IF(COUNTIF('Cleaned Dataset'!$C$2:$C$1201,C466)&gt;1,"Yes","No")</f>
        <v>No</v>
      </c>
    </row>
    <row r="467" spans="1:16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4320</v>
      </c>
      <c r="M467" s="2" t="s">
        <v>4282</v>
      </c>
      <c r="N467" s="2">
        <v>2567.4499999999998</v>
      </c>
      <c r="O467" t="str">
        <f t="shared" si="7"/>
        <v>February</v>
      </c>
      <c r="P467" t="str">
        <f t="array" ref="P467">IF(COUNTIF('Cleaned Dataset'!$C$2:$C$1201,C467)&gt;1,"Yes","No")</f>
        <v>No</v>
      </c>
    </row>
    <row r="468" spans="1:16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  <c r="O468" t="str">
        <f t="shared" si="7"/>
        <v>July</v>
      </c>
      <c r="P468" t="str">
        <f t="array" ref="P468">IF(COUNTIF('Cleaned Dataset'!$C$2:$C$1201,C468)&gt;1,"Yes","No")</f>
        <v>No</v>
      </c>
    </row>
    <row r="469" spans="1:16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  <c r="O469" t="str">
        <f t="shared" si="7"/>
        <v>August</v>
      </c>
      <c r="P469" t="str">
        <f t="array" ref="P469">IF(COUNTIF('Cleaned Dataset'!$C$2:$C$1201,C469)&gt;1,"Yes","No")</f>
        <v>No</v>
      </c>
    </row>
    <row r="470" spans="1:16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  <c r="O470" t="str">
        <f t="shared" si="7"/>
        <v>June</v>
      </c>
      <c r="P470" t="str">
        <f t="array" ref="P470">IF(COUNTIF('Cleaned Dataset'!$C$2:$C$1201,C470)&gt;1,"Yes","No")</f>
        <v>No</v>
      </c>
    </row>
    <row r="471" spans="1:16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4320</v>
      </c>
      <c r="M471" s="2" t="s">
        <v>4281</v>
      </c>
      <c r="N471" s="2">
        <v>3384.9</v>
      </c>
      <c r="O471" t="str">
        <f t="shared" si="7"/>
        <v>November</v>
      </c>
      <c r="P471" t="str">
        <f t="array" ref="P471">IF(COUNTIF('Cleaned Dataset'!$C$2:$C$1201,C471)&gt;1,"Yes","No")</f>
        <v>No</v>
      </c>
    </row>
    <row r="472" spans="1:16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  <c r="O472" t="str">
        <f t="shared" si="7"/>
        <v>September</v>
      </c>
      <c r="P472" t="str">
        <f t="array" ref="P472">IF(COUNTIF('Cleaned Dataset'!$C$2:$C$1201,C472)&gt;1,"Yes","No")</f>
        <v>No</v>
      </c>
    </row>
    <row r="473" spans="1:16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  <c r="O473" t="str">
        <f t="shared" si="7"/>
        <v>April</v>
      </c>
      <c r="P473" t="str">
        <f t="array" ref="P473">IF(COUNTIF('Cleaned Dataset'!$C$2:$C$1201,C473)&gt;1,"Yes","No")</f>
        <v>No</v>
      </c>
    </row>
    <row r="474" spans="1:16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  <c r="O474" t="str">
        <f t="shared" si="7"/>
        <v>January</v>
      </c>
      <c r="P474" t="str">
        <f t="array" ref="P474">IF(COUNTIF('Cleaned Dataset'!$C$2:$C$1201,C474)&gt;1,"Yes","No")</f>
        <v>No</v>
      </c>
    </row>
    <row r="475" spans="1:16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4320</v>
      </c>
      <c r="M475" s="2" t="s">
        <v>4281</v>
      </c>
      <c r="N475" s="2">
        <v>29.86</v>
      </c>
      <c r="O475" t="str">
        <f t="shared" si="7"/>
        <v>February</v>
      </c>
      <c r="P475" t="str">
        <f t="array" ref="P475">IF(COUNTIF('Cleaned Dataset'!$C$2:$C$1201,C475)&gt;1,"Yes","No")</f>
        <v>No</v>
      </c>
    </row>
    <row r="476" spans="1:16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  <c r="O476" t="str">
        <f t="shared" si="7"/>
        <v>November</v>
      </c>
      <c r="P476" t="str">
        <f t="array" ref="P476">IF(COUNTIF('Cleaned Dataset'!$C$2:$C$1201,C476)&gt;1,"Yes","No")</f>
        <v>No</v>
      </c>
    </row>
    <row r="477" spans="1:16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  <c r="O477" t="str">
        <f t="shared" si="7"/>
        <v>April</v>
      </c>
      <c r="P477" t="str">
        <f t="array" ref="P477">IF(COUNTIF('Cleaned Dataset'!$C$2:$C$1201,C477)&gt;1,"Yes","No")</f>
        <v>No</v>
      </c>
    </row>
    <row r="478" spans="1:16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  <c r="O478" t="str">
        <f t="shared" si="7"/>
        <v>January</v>
      </c>
      <c r="P478" t="str">
        <f t="array" ref="P478">IF(COUNTIF('Cleaned Dataset'!$C$2:$C$1201,C478)&gt;1,"Yes","No")</f>
        <v>No</v>
      </c>
    </row>
    <row r="479" spans="1:16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  <c r="O479" t="str">
        <f t="shared" si="7"/>
        <v>March</v>
      </c>
      <c r="P479" t="str">
        <f t="array" ref="P479">IF(COUNTIF('Cleaned Dataset'!$C$2:$C$1201,C479)&gt;1,"Yes","No")</f>
        <v>No</v>
      </c>
    </row>
    <row r="480" spans="1:16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  <c r="O480" t="str">
        <f t="shared" si="7"/>
        <v>November</v>
      </c>
      <c r="P480" t="str">
        <f t="array" ref="P480">IF(COUNTIF('Cleaned Dataset'!$C$2:$C$1201,C480)&gt;1,"Yes","No")</f>
        <v>No</v>
      </c>
    </row>
    <row r="481" spans="1:16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4320</v>
      </c>
      <c r="M481" s="2" t="s">
        <v>4282</v>
      </c>
      <c r="N481" s="2">
        <v>101.16</v>
      </c>
      <c r="O481" t="str">
        <f t="shared" si="7"/>
        <v>February</v>
      </c>
      <c r="P481" t="str">
        <f t="array" ref="P481">IF(COUNTIF('Cleaned Dataset'!$C$2:$C$1201,C481)&gt;1,"Yes","No")</f>
        <v>No</v>
      </c>
    </row>
    <row r="482" spans="1:16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  <c r="O482" t="str">
        <f t="shared" si="7"/>
        <v>June</v>
      </c>
      <c r="P482" t="str">
        <f t="array" ref="P482">IF(COUNTIF('Cleaned Dataset'!$C$2:$C$1201,C482)&gt;1,"Yes","No")</f>
        <v>No</v>
      </c>
    </row>
    <row r="483" spans="1:16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  <c r="O483" t="str">
        <f t="shared" si="7"/>
        <v>April</v>
      </c>
      <c r="P483" t="str">
        <f t="array" ref="P483">IF(COUNTIF('Cleaned Dataset'!$C$2:$C$1201,C483)&gt;1,"Yes","No")</f>
        <v>No</v>
      </c>
    </row>
    <row r="484" spans="1:16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4320</v>
      </c>
      <c r="M484" s="2" t="s">
        <v>4278</v>
      </c>
      <c r="N484" s="2">
        <v>1144.23</v>
      </c>
      <c r="O484" t="str">
        <f t="shared" si="7"/>
        <v>March</v>
      </c>
      <c r="P484" t="str">
        <f t="array" ref="P484">IF(COUNTIF('Cleaned Dataset'!$C$2:$C$1201,C484)&gt;1,"Yes","No")</f>
        <v>Yes</v>
      </c>
    </row>
    <row r="485" spans="1:16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  <c r="O485" t="str">
        <f t="shared" si="7"/>
        <v>January</v>
      </c>
      <c r="P485" t="str">
        <f t="array" ref="P485">IF(COUNTIF('Cleaned Dataset'!$C$2:$C$1201,C485)&gt;1,"Yes","No")</f>
        <v>No</v>
      </c>
    </row>
    <row r="486" spans="1:16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4320</v>
      </c>
      <c r="M486" s="2" t="s">
        <v>4281</v>
      </c>
      <c r="N486" s="2">
        <v>60.04</v>
      </c>
      <c r="O486" t="str">
        <f t="shared" si="7"/>
        <v>May</v>
      </c>
      <c r="P486" t="str">
        <f t="array" ref="P486">IF(COUNTIF('Cleaned Dataset'!$C$2:$C$1201,C486)&gt;1,"Yes","No")</f>
        <v>No</v>
      </c>
    </row>
    <row r="487" spans="1:16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  <c r="O487" t="str">
        <f t="shared" si="7"/>
        <v>August</v>
      </c>
      <c r="P487" t="str">
        <f t="array" ref="P487">IF(COUNTIF('Cleaned Dataset'!$C$2:$C$1201,C487)&gt;1,"Yes","No")</f>
        <v>Yes</v>
      </c>
    </row>
    <row r="488" spans="1:16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  <c r="O488" t="str">
        <f t="shared" si="7"/>
        <v>February</v>
      </c>
      <c r="P488" t="str">
        <f t="array" ref="P488">IF(COUNTIF('Cleaned Dataset'!$C$2:$C$1201,C488)&gt;1,"Yes","No")</f>
        <v>No</v>
      </c>
    </row>
    <row r="489" spans="1:16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  <c r="O489" t="str">
        <f t="shared" si="7"/>
        <v>March</v>
      </c>
      <c r="P489" t="str">
        <f t="array" ref="P489">IF(COUNTIF('Cleaned Dataset'!$C$2:$C$1201,C489)&gt;1,"Yes","No")</f>
        <v>No</v>
      </c>
    </row>
    <row r="490" spans="1:16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  <c r="O490" t="str">
        <f t="shared" si="7"/>
        <v>December</v>
      </c>
      <c r="P490" t="str">
        <f t="array" ref="P490">IF(COUNTIF('Cleaned Dataset'!$C$2:$C$1201,C490)&gt;1,"Yes","No")</f>
        <v>No</v>
      </c>
    </row>
    <row r="491" spans="1:16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  <c r="O491" t="str">
        <f t="shared" si="7"/>
        <v>September</v>
      </c>
      <c r="P491" t="str">
        <f t="array" ref="P491">IF(COUNTIF('Cleaned Dataset'!$C$2:$C$1201,C491)&gt;1,"Yes","No")</f>
        <v>No</v>
      </c>
    </row>
    <row r="492" spans="1:16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4320</v>
      </c>
      <c r="M492" s="2" t="s">
        <v>4281</v>
      </c>
      <c r="N492" s="2">
        <v>2339.0500000000002</v>
      </c>
      <c r="O492" t="str">
        <f t="shared" si="7"/>
        <v>July</v>
      </c>
      <c r="P492" t="str">
        <f t="array" ref="P492">IF(COUNTIF('Cleaned Dataset'!$C$2:$C$1201,C492)&gt;1,"Yes","No")</f>
        <v>No</v>
      </c>
    </row>
    <row r="493" spans="1:16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  <c r="O493" t="str">
        <f t="shared" si="7"/>
        <v>January</v>
      </c>
      <c r="P493" t="str">
        <f t="array" ref="P493">IF(COUNTIF('Cleaned Dataset'!$C$2:$C$1201,C493)&gt;1,"Yes","No")</f>
        <v>No</v>
      </c>
    </row>
    <row r="494" spans="1:16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  <c r="O494" t="str">
        <f t="shared" si="7"/>
        <v>October</v>
      </c>
      <c r="P494" t="str">
        <f t="array" ref="P494">IF(COUNTIF('Cleaned Dataset'!$C$2:$C$1201,C494)&gt;1,"Yes","No")</f>
        <v>No</v>
      </c>
    </row>
    <row r="495" spans="1:16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  <c r="O495" t="str">
        <f t="shared" si="7"/>
        <v>January</v>
      </c>
      <c r="P495" t="str">
        <f t="array" ref="P495">IF(COUNTIF('Cleaned Dataset'!$C$2:$C$1201,C495)&gt;1,"Yes","No")</f>
        <v>No</v>
      </c>
    </row>
    <row r="496" spans="1:16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  <c r="O496" t="str">
        <f t="shared" si="7"/>
        <v>July</v>
      </c>
      <c r="P496" t="str">
        <f t="array" ref="P496">IF(COUNTIF('Cleaned Dataset'!$C$2:$C$1201,C496)&gt;1,"Yes","No")</f>
        <v>No</v>
      </c>
    </row>
    <row r="497" spans="1:16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  <c r="O497" t="str">
        <f t="shared" si="7"/>
        <v>June</v>
      </c>
      <c r="P497" t="str">
        <f t="array" ref="P497">IF(COUNTIF('Cleaned Dataset'!$C$2:$C$1201,C497)&gt;1,"Yes","No")</f>
        <v>No</v>
      </c>
    </row>
    <row r="498" spans="1:16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  <c r="O498" t="str">
        <f t="shared" si="7"/>
        <v>March</v>
      </c>
      <c r="P498" t="str">
        <f t="array" ref="P498">IF(COUNTIF('Cleaned Dataset'!$C$2:$C$1201,C498)&gt;1,"Yes","No")</f>
        <v>No</v>
      </c>
    </row>
    <row r="499" spans="1:16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4320</v>
      </c>
      <c r="M499" s="2" t="s">
        <v>4282</v>
      </c>
      <c r="N499" s="2">
        <v>336.87</v>
      </c>
      <c r="O499" t="str">
        <f t="shared" si="7"/>
        <v>October</v>
      </c>
      <c r="P499" t="str">
        <f t="array" ref="P499">IF(COUNTIF('Cleaned Dataset'!$C$2:$C$1201,C499)&gt;1,"Yes","No")</f>
        <v>No</v>
      </c>
    </row>
    <row r="500" spans="1:16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  <c r="O500" t="str">
        <f t="shared" si="7"/>
        <v>July</v>
      </c>
      <c r="P500" t="str">
        <f t="array" ref="P500">IF(COUNTIF('Cleaned Dataset'!$C$2:$C$1201,C500)&gt;1,"Yes","No")</f>
        <v>No</v>
      </c>
    </row>
    <row r="501" spans="1:16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  <c r="O501" t="str">
        <f t="shared" si="7"/>
        <v>April</v>
      </c>
      <c r="P501" t="str">
        <f t="array" ref="P501">IF(COUNTIF('Cleaned Dataset'!$C$2:$C$1201,C501)&gt;1,"Yes","No")</f>
        <v>No</v>
      </c>
    </row>
    <row r="502" spans="1:16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  <c r="O502" t="str">
        <f t="shared" si="7"/>
        <v>April</v>
      </c>
      <c r="P502" t="str">
        <f t="array" ref="P502">IF(COUNTIF('Cleaned Dataset'!$C$2:$C$1201,C502)&gt;1,"Yes","No")</f>
        <v>No</v>
      </c>
    </row>
    <row r="503" spans="1:16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  <c r="O503" t="str">
        <f t="shared" si="7"/>
        <v>February</v>
      </c>
      <c r="P503" t="str">
        <f t="array" ref="P503">IF(COUNTIF('Cleaned Dataset'!$C$2:$C$1201,C503)&gt;1,"Yes","No")</f>
        <v>No</v>
      </c>
    </row>
    <row r="504" spans="1:16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  <c r="O504" t="str">
        <f t="shared" si="7"/>
        <v>May</v>
      </c>
      <c r="P504" t="str">
        <f t="array" ref="P504">IF(COUNTIF('Cleaned Dataset'!$C$2:$C$1201,C504)&gt;1,"Yes","No")</f>
        <v>No</v>
      </c>
    </row>
    <row r="505" spans="1:16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  <c r="O505" t="str">
        <f t="shared" si="7"/>
        <v>August</v>
      </c>
      <c r="P505" t="str">
        <f t="array" ref="P505">IF(COUNTIF('Cleaned Dataset'!$C$2:$C$1201,C505)&gt;1,"Yes","No")</f>
        <v>No</v>
      </c>
    </row>
    <row r="506" spans="1:16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  <c r="O506" t="str">
        <f t="shared" si="7"/>
        <v>June</v>
      </c>
      <c r="P506" t="str">
        <f t="array" ref="P506">IF(COUNTIF('Cleaned Dataset'!$C$2:$C$1201,C506)&gt;1,"Yes","No")</f>
        <v>No</v>
      </c>
    </row>
    <row r="507" spans="1:16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4320</v>
      </c>
      <c r="M507" s="2" t="s">
        <v>4280</v>
      </c>
      <c r="N507" s="2">
        <v>869.94</v>
      </c>
      <c r="O507" t="str">
        <f t="shared" si="7"/>
        <v>June</v>
      </c>
      <c r="P507" t="str">
        <f t="array" ref="P507">IF(COUNTIF('Cleaned Dataset'!$C$2:$C$1201,C507)&gt;1,"Yes","No")</f>
        <v>No</v>
      </c>
    </row>
    <row r="508" spans="1:16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  <c r="O508" t="str">
        <f t="shared" si="7"/>
        <v>July</v>
      </c>
      <c r="P508" t="str">
        <f t="array" ref="P508">IF(COUNTIF('Cleaned Dataset'!$C$2:$C$1201,C508)&gt;1,"Yes","No")</f>
        <v>No</v>
      </c>
    </row>
    <row r="509" spans="1:16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  <c r="O509" t="str">
        <f t="shared" si="7"/>
        <v>July</v>
      </c>
      <c r="P509" t="str">
        <f t="array" ref="P509">IF(COUNTIF('Cleaned Dataset'!$C$2:$C$1201,C509)&gt;1,"Yes","No")</f>
        <v>No</v>
      </c>
    </row>
    <row r="510" spans="1:16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4320</v>
      </c>
      <c r="M510" s="2" t="s">
        <v>4279</v>
      </c>
      <c r="N510" s="2">
        <v>558.27</v>
      </c>
      <c r="O510" t="str">
        <f t="shared" si="7"/>
        <v>May</v>
      </c>
      <c r="P510" t="str">
        <f t="array" ref="P510">IF(COUNTIF('Cleaned Dataset'!$C$2:$C$1201,C510)&gt;1,"Yes","No")</f>
        <v>No</v>
      </c>
    </row>
    <row r="511" spans="1:16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  <c r="O511" t="str">
        <f t="shared" si="7"/>
        <v>February</v>
      </c>
      <c r="P511" t="str">
        <f t="array" ref="P511">IF(COUNTIF('Cleaned Dataset'!$C$2:$C$1201,C511)&gt;1,"Yes","No")</f>
        <v>No</v>
      </c>
    </row>
    <row r="512" spans="1:16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  <c r="O512" t="str">
        <f t="shared" si="7"/>
        <v>December</v>
      </c>
      <c r="P512" t="str">
        <f t="array" ref="P512">IF(COUNTIF('Cleaned Dataset'!$C$2:$C$1201,C512)&gt;1,"Yes","No")</f>
        <v>No</v>
      </c>
    </row>
    <row r="513" spans="1:16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  <c r="O513" t="str">
        <f t="shared" si="7"/>
        <v>March</v>
      </c>
      <c r="P513" t="str">
        <f t="array" ref="P513">IF(COUNTIF('Cleaned Dataset'!$C$2:$C$1201,C513)&gt;1,"Yes","No")</f>
        <v>No</v>
      </c>
    </row>
    <row r="514" spans="1:16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  <c r="O514" t="str">
        <f t="shared" si="7"/>
        <v>September</v>
      </c>
      <c r="P514" t="str">
        <f t="array" ref="P514">IF(COUNTIF('Cleaned Dataset'!$C$2:$C$1201,C514)&gt;1,"Yes","No")</f>
        <v>No</v>
      </c>
    </row>
    <row r="515" spans="1:16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4320</v>
      </c>
      <c r="M515" s="2" t="s">
        <v>4279</v>
      </c>
      <c r="N515" s="2">
        <v>284.64</v>
      </c>
      <c r="O515" t="str">
        <f t="shared" ref="O515:O578" si="8">TEXT(B515,"mmmm")</f>
        <v>February</v>
      </c>
      <c r="P515" t="str">
        <f t="array" ref="P515">IF(COUNTIF('Cleaned Dataset'!$C$2:$C$1201,C515)&gt;1,"Yes","No")</f>
        <v>No</v>
      </c>
    </row>
    <row r="516" spans="1:16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  <c r="O516" t="str">
        <f t="shared" si="8"/>
        <v>April</v>
      </c>
      <c r="P516" t="str">
        <f t="array" ref="P516">IF(COUNTIF('Cleaned Dataset'!$C$2:$C$1201,C516)&gt;1,"Yes","No")</f>
        <v>No</v>
      </c>
    </row>
    <row r="517" spans="1:16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  <c r="O517" t="str">
        <f t="shared" si="8"/>
        <v>March</v>
      </c>
      <c r="P517" t="str">
        <f t="array" ref="P517">IF(COUNTIF('Cleaned Dataset'!$C$2:$C$1201,C517)&gt;1,"Yes","No")</f>
        <v>No</v>
      </c>
    </row>
    <row r="518" spans="1:16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4320</v>
      </c>
      <c r="M518" s="2" t="s">
        <v>4281</v>
      </c>
      <c r="N518" s="2">
        <v>500.97</v>
      </c>
      <c r="O518" t="str">
        <f t="shared" si="8"/>
        <v>April</v>
      </c>
      <c r="P518" t="str">
        <f t="array" ref="P518">IF(COUNTIF('Cleaned Dataset'!$C$2:$C$1201,C518)&gt;1,"Yes","No")</f>
        <v>No</v>
      </c>
    </row>
    <row r="519" spans="1:16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  <c r="O519" t="str">
        <f t="shared" si="8"/>
        <v>April</v>
      </c>
      <c r="P519" t="str">
        <f t="array" ref="P519">IF(COUNTIF('Cleaned Dataset'!$C$2:$C$1201,C519)&gt;1,"Yes","No")</f>
        <v>No</v>
      </c>
    </row>
    <row r="520" spans="1:16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  <c r="O520" t="str">
        <f t="shared" si="8"/>
        <v>June</v>
      </c>
      <c r="P520" t="str">
        <f t="array" ref="P520">IF(COUNTIF('Cleaned Dataset'!$C$2:$C$1201,C520)&gt;1,"Yes","No")</f>
        <v>No</v>
      </c>
    </row>
    <row r="521" spans="1:16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  <c r="O521" t="str">
        <f t="shared" si="8"/>
        <v>May</v>
      </c>
      <c r="P521" t="str">
        <f t="array" ref="P521">IF(COUNTIF('Cleaned Dataset'!$C$2:$C$1201,C521)&gt;1,"Yes","No")</f>
        <v>No</v>
      </c>
    </row>
    <row r="522" spans="1:16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4320</v>
      </c>
      <c r="M522" s="2" t="s">
        <v>4279</v>
      </c>
      <c r="N522" s="2">
        <v>1907.94</v>
      </c>
      <c r="O522" t="str">
        <f t="shared" si="8"/>
        <v>March</v>
      </c>
      <c r="P522" t="str">
        <f t="array" ref="P522">IF(COUNTIF('Cleaned Dataset'!$C$2:$C$1201,C522)&gt;1,"Yes","No")</f>
        <v>No</v>
      </c>
    </row>
    <row r="523" spans="1:16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4320</v>
      </c>
      <c r="M523" s="2" t="s">
        <v>4281</v>
      </c>
      <c r="N523" s="2">
        <v>528.05999999999995</v>
      </c>
      <c r="O523" t="str">
        <f t="shared" si="8"/>
        <v>February</v>
      </c>
      <c r="P523" t="str">
        <f t="array" ref="P523">IF(COUNTIF('Cleaned Dataset'!$C$2:$C$1201,C523)&gt;1,"Yes","No")</f>
        <v>No</v>
      </c>
    </row>
    <row r="524" spans="1:16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  <c r="O524" t="str">
        <f t="shared" si="8"/>
        <v>April</v>
      </c>
      <c r="P524" t="str">
        <f t="array" ref="P524">IF(COUNTIF('Cleaned Dataset'!$C$2:$C$1201,C524)&gt;1,"Yes","No")</f>
        <v>No</v>
      </c>
    </row>
    <row r="525" spans="1:16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  <c r="O525" t="str">
        <f t="shared" si="8"/>
        <v>February</v>
      </c>
      <c r="P525" t="str">
        <f t="array" ref="P525">IF(COUNTIF('Cleaned Dataset'!$C$2:$C$1201,C525)&gt;1,"Yes","No")</f>
        <v>No</v>
      </c>
    </row>
    <row r="526" spans="1:16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4320</v>
      </c>
      <c r="M526" s="2" t="s">
        <v>4279</v>
      </c>
      <c r="N526" s="2">
        <v>153</v>
      </c>
      <c r="O526" t="str">
        <f t="shared" si="8"/>
        <v>October</v>
      </c>
      <c r="P526" t="str">
        <f t="array" ref="P526">IF(COUNTIF('Cleaned Dataset'!$C$2:$C$1201,C526)&gt;1,"Yes","No")</f>
        <v>No</v>
      </c>
    </row>
    <row r="527" spans="1:16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  <c r="O527" t="str">
        <f t="shared" si="8"/>
        <v>December</v>
      </c>
      <c r="P527" t="str">
        <f t="array" ref="P527">IF(COUNTIF('Cleaned Dataset'!$C$2:$C$1201,C527)&gt;1,"Yes","No")</f>
        <v>No</v>
      </c>
    </row>
    <row r="528" spans="1:16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  <c r="O528" t="str">
        <f t="shared" si="8"/>
        <v>February</v>
      </c>
      <c r="P528" t="str">
        <f t="array" ref="P528">IF(COUNTIF('Cleaned Dataset'!$C$2:$C$1201,C528)&gt;1,"Yes","No")</f>
        <v>No</v>
      </c>
    </row>
    <row r="529" spans="1:16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  <c r="O529" t="str">
        <f t="shared" si="8"/>
        <v>August</v>
      </c>
      <c r="P529" t="str">
        <f t="array" ref="P529">IF(COUNTIF('Cleaned Dataset'!$C$2:$C$1201,C529)&gt;1,"Yes","No")</f>
        <v>No</v>
      </c>
    </row>
    <row r="530" spans="1:16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  <c r="O530" t="str">
        <f t="shared" si="8"/>
        <v>February</v>
      </c>
      <c r="P530" t="str">
        <f t="array" ref="P530">IF(COUNTIF('Cleaned Dataset'!$C$2:$C$1201,C530)&gt;1,"Yes","No")</f>
        <v>No</v>
      </c>
    </row>
    <row r="531" spans="1:16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  <c r="O531" t="str">
        <f t="shared" si="8"/>
        <v>April</v>
      </c>
      <c r="P531" t="str">
        <f t="array" ref="P531">IF(COUNTIF('Cleaned Dataset'!$C$2:$C$1201,C531)&gt;1,"Yes","No")</f>
        <v>No</v>
      </c>
    </row>
    <row r="532" spans="1:16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4320</v>
      </c>
      <c r="M532" s="2" t="s">
        <v>4282</v>
      </c>
      <c r="N532" s="2">
        <v>357.64</v>
      </c>
      <c r="O532" t="str">
        <f t="shared" si="8"/>
        <v>July</v>
      </c>
      <c r="P532" t="str">
        <f t="array" ref="P532">IF(COUNTIF('Cleaned Dataset'!$C$2:$C$1201,C532)&gt;1,"Yes","No")</f>
        <v>No</v>
      </c>
    </row>
    <row r="533" spans="1:16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4320</v>
      </c>
      <c r="M533" s="2" t="s">
        <v>4279</v>
      </c>
      <c r="N533" s="2">
        <v>1600.05</v>
      </c>
      <c r="O533" t="str">
        <f t="shared" si="8"/>
        <v>July</v>
      </c>
      <c r="P533" t="str">
        <f t="array" ref="P533">IF(COUNTIF('Cleaned Dataset'!$C$2:$C$1201,C533)&gt;1,"Yes","No")</f>
        <v>No</v>
      </c>
    </row>
    <row r="534" spans="1:16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4320</v>
      </c>
      <c r="M534" s="2" t="s">
        <v>4280</v>
      </c>
      <c r="N534" s="2">
        <v>82</v>
      </c>
      <c r="O534" t="str">
        <f t="shared" si="8"/>
        <v>May</v>
      </c>
      <c r="P534" t="str">
        <f t="array" ref="P534">IF(COUNTIF('Cleaned Dataset'!$C$2:$C$1201,C534)&gt;1,"Yes","No")</f>
        <v>No</v>
      </c>
    </row>
    <row r="535" spans="1:16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  <c r="O535" t="str">
        <f t="shared" si="8"/>
        <v>March</v>
      </c>
      <c r="P535" t="str">
        <f t="array" ref="P535">IF(COUNTIF('Cleaned Dataset'!$C$2:$C$1201,C535)&gt;1,"Yes","No")</f>
        <v>No</v>
      </c>
    </row>
    <row r="536" spans="1:16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  <c r="O536" t="str">
        <f t="shared" si="8"/>
        <v>June</v>
      </c>
      <c r="P536" t="str">
        <f t="array" ref="P536">IF(COUNTIF('Cleaned Dataset'!$C$2:$C$1201,C536)&gt;1,"Yes","No")</f>
        <v>No</v>
      </c>
    </row>
    <row r="537" spans="1:16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  <c r="O537" t="str">
        <f t="shared" si="8"/>
        <v>July</v>
      </c>
      <c r="P537" t="str">
        <f t="array" ref="P537">IF(COUNTIF('Cleaned Dataset'!$C$2:$C$1201,C537)&gt;1,"Yes","No")</f>
        <v>No</v>
      </c>
    </row>
    <row r="538" spans="1:16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4320</v>
      </c>
      <c r="M538" s="2" t="s">
        <v>4280</v>
      </c>
      <c r="N538" s="2">
        <v>616.1</v>
      </c>
      <c r="O538" t="str">
        <f t="shared" si="8"/>
        <v>June</v>
      </c>
      <c r="P538" t="str">
        <f t="array" ref="P538">IF(COUNTIF('Cleaned Dataset'!$C$2:$C$1201,C538)&gt;1,"Yes","No")</f>
        <v>No</v>
      </c>
    </row>
    <row r="539" spans="1:16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  <c r="O539" t="str">
        <f t="shared" si="8"/>
        <v>March</v>
      </c>
      <c r="P539" t="str">
        <f t="array" ref="P539">IF(COUNTIF('Cleaned Dataset'!$C$2:$C$1201,C539)&gt;1,"Yes","No")</f>
        <v>No</v>
      </c>
    </row>
    <row r="540" spans="1:16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  <c r="O540" t="str">
        <f t="shared" si="8"/>
        <v>May</v>
      </c>
      <c r="P540" t="str">
        <f t="array" ref="P540">IF(COUNTIF('Cleaned Dataset'!$C$2:$C$1201,C540)&gt;1,"Yes","No")</f>
        <v>No</v>
      </c>
    </row>
    <row r="541" spans="1:16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  <c r="O541" t="str">
        <f t="shared" si="8"/>
        <v>February</v>
      </c>
      <c r="P541" t="str">
        <f t="array" ref="P541">IF(COUNTIF('Cleaned Dataset'!$C$2:$C$1201,C541)&gt;1,"Yes","No")</f>
        <v>No</v>
      </c>
    </row>
    <row r="542" spans="1:16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4320</v>
      </c>
      <c r="M542" s="2" t="s">
        <v>4279</v>
      </c>
      <c r="N542" s="2">
        <v>3243.25</v>
      </c>
      <c r="O542" t="str">
        <f t="shared" si="8"/>
        <v>January</v>
      </c>
      <c r="P542" t="str">
        <f t="array" ref="P542">IF(COUNTIF('Cleaned Dataset'!$C$2:$C$1201,C542)&gt;1,"Yes","No")</f>
        <v>No</v>
      </c>
    </row>
    <row r="543" spans="1:16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4320</v>
      </c>
      <c r="M543" s="2" t="s">
        <v>4278</v>
      </c>
      <c r="N543" s="2">
        <v>2280.3000000000002</v>
      </c>
      <c r="O543" t="str">
        <f t="shared" si="8"/>
        <v>August</v>
      </c>
      <c r="P543" t="str">
        <f t="array" ref="P543">IF(COUNTIF('Cleaned Dataset'!$C$2:$C$1201,C543)&gt;1,"Yes","No")</f>
        <v>No</v>
      </c>
    </row>
    <row r="544" spans="1:16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  <c r="O544" t="str">
        <f t="shared" si="8"/>
        <v>November</v>
      </c>
      <c r="P544" t="str">
        <f t="array" ref="P544">IF(COUNTIF('Cleaned Dataset'!$C$2:$C$1201,C544)&gt;1,"Yes","No")</f>
        <v>No</v>
      </c>
    </row>
    <row r="545" spans="1:16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  <c r="O545" t="str">
        <f t="shared" si="8"/>
        <v>March</v>
      </c>
      <c r="P545" t="str">
        <f t="array" ref="P545">IF(COUNTIF('Cleaned Dataset'!$C$2:$C$1201,C545)&gt;1,"Yes","No")</f>
        <v>No</v>
      </c>
    </row>
    <row r="546" spans="1:16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  <c r="O546" t="str">
        <f t="shared" si="8"/>
        <v>March</v>
      </c>
      <c r="P546" t="str">
        <f t="array" ref="P546">IF(COUNTIF('Cleaned Dataset'!$C$2:$C$1201,C546)&gt;1,"Yes","No")</f>
        <v>No</v>
      </c>
    </row>
    <row r="547" spans="1:16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4320</v>
      </c>
      <c r="M547" s="2" t="s">
        <v>4278</v>
      </c>
      <c r="N547" s="2">
        <v>196.94</v>
      </c>
      <c r="O547" t="str">
        <f t="shared" si="8"/>
        <v>December</v>
      </c>
      <c r="P547" t="str">
        <f t="array" ref="P547">IF(COUNTIF('Cleaned Dataset'!$C$2:$C$1201,C547)&gt;1,"Yes","No")</f>
        <v>No</v>
      </c>
    </row>
    <row r="548" spans="1:16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  <c r="O548" t="str">
        <f t="shared" si="8"/>
        <v>March</v>
      </c>
      <c r="P548" t="str">
        <f t="array" ref="P548">IF(COUNTIF('Cleaned Dataset'!$C$2:$C$1201,C548)&gt;1,"Yes","No")</f>
        <v>No</v>
      </c>
    </row>
    <row r="549" spans="1:16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  <c r="O549" t="str">
        <f t="shared" si="8"/>
        <v>August</v>
      </c>
      <c r="P549" t="str">
        <f t="array" ref="P549">IF(COUNTIF('Cleaned Dataset'!$C$2:$C$1201,C549)&gt;1,"Yes","No")</f>
        <v>No</v>
      </c>
    </row>
    <row r="550" spans="1:16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  <c r="O550" t="str">
        <f t="shared" si="8"/>
        <v>January</v>
      </c>
      <c r="P550" t="str">
        <f t="array" ref="P550">IF(COUNTIF('Cleaned Dataset'!$C$2:$C$1201,C550)&gt;1,"Yes","No")</f>
        <v>No</v>
      </c>
    </row>
    <row r="551" spans="1:16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  <c r="O551" t="str">
        <f t="shared" si="8"/>
        <v>February</v>
      </c>
      <c r="P551" t="str">
        <f t="array" ref="P551">IF(COUNTIF('Cleaned Dataset'!$C$2:$C$1201,C551)&gt;1,"Yes","No")</f>
        <v>No</v>
      </c>
    </row>
    <row r="552" spans="1:16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  <c r="O552" t="str">
        <f t="shared" si="8"/>
        <v>October</v>
      </c>
      <c r="P552" t="str">
        <f t="array" ref="P552">IF(COUNTIF('Cleaned Dataset'!$C$2:$C$1201,C552)&gt;1,"Yes","No")</f>
        <v>No</v>
      </c>
    </row>
    <row r="553" spans="1:16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  <c r="O553" t="str">
        <f t="shared" si="8"/>
        <v>May</v>
      </c>
      <c r="P553" t="str">
        <f t="array" ref="P553">IF(COUNTIF('Cleaned Dataset'!$C$2:$C$1201,C553)&gt;1,"Yes","No")</f>
        <v>No</v>
      </c>
    </row>
    <row r="554" spans="1:16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  <c r="O554" t="str">
        <f t="shared" si="8"/>
        <v>September</v>
      </c>
      <c r="P554" t="str">
        <f t="array" ref="P554">IF(COUNTIF('Cleaned Dataset'!$C$2:$C$1201,C554)&gt;1,"Yes","No")</f>
        <v>No</v>
      </c>
    </row>
    <row r="555" spans="1:16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  <c r="O555" t="str">
        <f t="shared" si="8"/>
        <v>August</v>
      </c>
      <c r="P555" t="str">
        <f t="array" ref="P555">IF(COUNTIF('Cleaned Dataset'!$C$2:$C$1201,C555)&gt;1,"Yes","No")</f>
        <v>No</v>
      </c>
    </row>
    <row r="556" spans="1:16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  <c r="O556" t="str">
        <f t="shared" si="8"/>
        <v>May</v>
      </c>
      <c r="P556" t="str">
        <f t="array" ref="P556">IF(COUNTIF('Cleaned Dataset'!$C$2:$C$1201,C556)&gt;1,"Yes","No")</f>
        <v>No</v>
      </c>
    </row>
    <row r="557" spans="1:16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4320</v>
      </c>
      <c r="M557" s="2" t="s">
        <v>4281</v>
      </c>
      <c r="N557" s="2">
        <v>92.04</v>
      </c>
      <c r="O557" t="str">
        <f t="shared" si="8"/>
        <v>January</v>
      </c>
      <c r="P557" t="str">
        <f t="array" ref="P557">IF(COUNTIF('Cleaned Dataset'!$C$2:$C$1201,C557)&gt;1,"Yes","No")</f>
        <v>No</v>
      </c>
    </row>
    <row r="558" spans="1:16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  <c r="O558" t="str">
        <f t="shared" si="8"/>
        <v>January</v>
      </c>
      <c r="P558" t="str">
        <f t="array" ref="P558">IF(COUNTIF('Cleaned Dataset'!$C$2:$C$1201,C558)&gt;1,"Yes","No")</f>
        <v>No</v>
      </c>
    </row>
    <row r="559" spans="1:16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  <c r="O559" t="str">
        <f t="shared" si="8"/>
        <v>June</v>
      </c>
      <c r="P559" t="str">
        <f t="array" ref="P559">IF(COUNTIF('Cleaned Dataset'!$C$2:$C$1201,C559)&gt;1,"Yes","No")</f>
        <v>Yes</v>
      </c>
    </row>
    <row r="560" spans="1:16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  <c r="O560" t="str">
        <f t="shared" si="8"/>
        <v>July</v>
      </c>
      <c r="P560" t="str">
        <f t="array" ref="P560">IF(COUNTIF('Cleaned Dataset'!$C$2:$C$1201,C560)&gt;1,"Yes","No")</f>
        <v>No</v>
      </c>
    </row>
    <row r="561" spans="1:16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  <c r="O561" t="str">
        <f t="shared" si="8"/>
        <v>April</v>
      </c>
      <c r="P561" t="str">
        <f t="array" ref="P561">IF(COUNTIF('Cleaned Dataset'!$C$2:$C$1201,C561)&gt;1,"Yes","No")</f>
        <v>No</v>
      </c>
    </row>
    <row r="562" spans="1:16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4320</v>
      </c>
      <c r="M562" s="2" t="s">
        <v>4280</v>
      </c>
      <c r="N562" s="2">
        <v>2355.4</v>
      </c>
      <c r="O562" t="str">
        <f t="shared" si="8"/>
        <v>January</v>
      </c>
      <c r="P562" t="str">
        <f t="array" ref="P562">IF(COUNTIF('Cleaned Dataset'!$C$2:$C$1201,C562)&gt;1,"Yes","No")</f>
        <v>No</v>
      </c>
    </row>
    <row r="563" spans="1:16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4320</v>
      </c>
      <c r="M563" s="2" t="s">
        <v>4282</v>
      </c>
      <c r="N563" s="2">
        <v>989.56</v>
      </c>
      <c r="O563" t="str">
        <f t="shared" si="8"/>
        <v>January</v>
      </c>
      <c r="P563" t="str">
        <f t="array" ref="P563">IF(COUNTIF('Cleaned Dataset'!$C$2:$C$1201,C563)&gt;1,"Yes","No")</f>
        <v>No</v>
      </c>
    </row>
    <row r="564" spans="1:16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  <c r="O564" t="str">
        <f t="shared" si="8"/>
        <v>October</v>
      </c>
      <c r="P564" t="str">
        <f t="array" ref="P564">IF(COUNTIF('Cleaned Dataset'!$C$2:$C$1201,C564)&gt;1,"Yes","No")</f>
        <v>No</v>
      </c>
    </row>
    <row r="565" spans="1:16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  <c r="O565" t="str">
        <f t="shared" si="8"/>
        <v>December</v>
      </c>
      <c r="P565" t="str">
        <f t="array" ref="P565">IF(COUNTIF('Cleaned Dataset'!$C$2:$C$1201,C565)&gt;1,"Yes","No")</f>
        <v>No</v>
      </c>
    </row>
    <row r="566" spans="1:16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  <c r="O566" t="str">
        <f t="shared" si="8"/>
        <v>April</v>
      </c>
      <c r="P566" t="str">
        <f t="array" ref="P566">IF(COUNTIF('Cleaned Dataset'!$C$2:$C$1201,C566)&gt;1,"Yes","No")</f>
        <v>No</v>
      </c>
    </row>
    <row r="567" spans="1:16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4320</v>
      </c>
      <c r="M567" s="2" t="s">
        <v>4281</v>
      </c>
      <c r="N567" s="2">
        <v>1539.9</v>
      </c>
      <c r="O567" t="str">
        <f t="shared" si="8"/>
        <v>May</v>
      </c>
      <c r="P567" t="str">
        <f t="array" ref="P567">IF(COUNTIF('Cleaned Dataset'!$C$2:$C$1201,C567)&gt;1,"Yes","No")</f>
        <v>No</v>
      </c>
    </row>
    <row r="568" spans="1:16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  <c r="O568" t="str">
        <f t="shared" si="8"/>
        <v>April</v>
      </c>
      <c r="P568" t="str">
        <f t="array" ref="P568">IF(COUNTIF('Cleaned Dataset'!$C$2:$C$1201,C568)&gt;1,"Yes","No")</f>
        <v>No</v>
      </c>
    </row>
    <row r="569" spans="1:16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  <c r="O569" t="str">
        <f t="shared" si="8"/>
        <v>September</v>
      </c>
      <c r="P569" t="str">
        <f t="array" ref="P569">IF(COUNTIF('Cleaned Dataset'!$C$2:$C$1201,C569)&gt;1,"Yes","No")</f>
        <v>No</v>
      </c>
    </row>
    <row r="570" spans="1:16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4320</v>
      </c>
      <c r="M570" s="2" t="s">
        <v>4282</v>
      </c>
      <c r="N570" s="2">
        <v>687.98</v>
      </c>
      <c r="O570" t="str">
        <f t="shared" si="8"/>
        <v>March</v>
      </c>
      <c r="P570" t="str">
        <f t="array" ref="P570">IF(COUNTIF('Cleaned Dataset'!$C$2:$C$1201,C570)&gt;1,"Yes","No")</f>
        <v>No</v>
      </c>
    </row>
    <row r="571" spans="1:16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  <c r="O571" t="str">
        <f t="shared" si="8"/>
        <v>March</v>
      </c>
      <c r="P571" t="str">
        <f t="array" ref="P571">IF(COUNTIF('Cleaned Dataset'!$C$2:$C$1201,C571)&gt;1,"Yes","No")</f>
        <v>No</v>
      </c>
    </row>
    <row r="572" spans="1:16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  <c r="O572" t="str">
        <f t="shared" si="8"/>
        <v>December</v>
      </c>
      <c r="P572" t="str">
        <f t="array" ref="P572">IF(COUNTIF('Cleaned Dataset'!$C$2:$C$1201,C572)&gt;1,"Yes","No")</f>
        <v>No</v>
      </c>
    </row>
    <row r="573" spans="1:16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  <c r="O573" t="str">
        <f t="shared" si="8"/>
        <v>November</v>
      </c>
      <c r="P573" t="str">
        <f t="array" ref="P573">IF(COUNTIF('Cleaned Dataset'!$C$2:$C$1201,C573)&gt;1,"Yes","No")</f>
        <v>No</v>
      </c>
    </row>
    <row r="574" spans="1:16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  <c r="O574" t="str">
        <f t="shared" si="8"/>
        <v>November</v>
      </c>
      <c r="P574" t="str">
        <f t="array" ref="P574">IF(COUNTIF('Cleaned Dataset'!$C$2:$C$1201,C574)&gt;1,"Yes","No")</f>
        <v>No</v>
      </c>
    </row>
    <row r="575" spans="1:16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4320</v>
      </c>
      <c r="M575" s="2" t="s">
        <v>4278</v>
      </c>
      <c r="N575" s="2">
        <v>2107.1</v>
      </c>
      <c r="O575" t="str">
        <f t="shared" si="8"/>
        <v>January</v>
      </c>
      <c r="P575" t="str">
        <f t="array" ref="P575">IF(COUNTIF('Cleaned Dataset'!$C$2:$C$1201,C575)&gt;1,"Yes","No")</f>
        <v>No</v>
      </c>
    </row>
    <row r="576" spans="1:16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  <c r="O576" t="str">
        <f t="shared" si="8"/>
        <v>January</v>
      </c>
      <c r="P576" t="str">
        <f t="array" ref="P576">IF(COUNTIF('Cleaned Dataset'!$C$2:$C$1201,C576)&gt;1,"Yes","No")</f>
        <v>No</v>
      </c>
    </row>
    <row r="577" spans="1:16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  <c r="O577" t="str">
        <f t="shared" si="8"/>
        <v>June</v>
      </c>
      <c r="P577" t="str">
        <f t="array" ref="P577">IF(COUNTIF('Cleaned Dataset'!$C$2:$C$1201,C577)&gt;1,"Yes","No")</f>
        <v>No</v>
      </c>
    </row>
    <row r="578" spans="1:16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4320</v>
      </c>
      <c r="M578" s="2" t="s">
        <v>4281</v>
      </c>
      <c r="N578" s="2">
        <v>395.4</v>
      </c>
      <c r="O578" t="str">
        <f t="shared" si="8"/>
        <v>May</v>
      </c>
      <c r="P578" t="str">
        <f t="array" ref="P578">IF(COUNTIF('Cleaned Dataset'!$C$2:$C$1201,C578)&gt;1,"Yes","No")</f>
        <v>No</v>
      </c>
    </row>
    <row r="579" spans="1:16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  <c r="O579" t="str">
        <f t="shared" ref="O579:O642" si="9">TEXT(B579,"mmmm")</f>
        <v>January</v>
      </c>
      <c r="P579" t="str">
        <f t="array" ref="P579">IF(COUNTIF('Cleaned Dataset'!$C$2:$C$1201,C579)&gt;1,"Yes","No")</f>
        <v>No</v>
      </c>
    </row>
    <row r="580" spans="1:16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  <c r="O580" t="str">
        <f t="shared" si="9"/>
        <v>October</v>
      </c>
      <c r="P580" t="str">
        <f t="array" ref="P580">IF(COUNTIF('Cleaned Dataset'!$C$2:$C$1201,C580)&gt;1,"Yes","No")</f>
        <v>No</v>
      </c>
    </row>
    <row r="581" spans="1:16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  <c r="O581" t="str">
        <f t="shared" si="9"/>
        <v>June</v>
      </c>
      <c r="P581" t="str">
        <f t="array" ref="P581">IF(COUNTIF('Cleaned Dataset'!$C$2:$C$1201,C581)&gt;1,"Yes","No")</f>
        <v>No</v>
      </c>
    </row>
    <row r="582" spans="1:16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  <c r="O582" t="str">
        <f t="shared" si="9"/>
        <v>November</v>
      </c>
      <c r="P582" t="str">
        <f t="array" ref="P582">IF(COUNTIF('Cleaned Dataset'!$C$2:$C$1201,C582)&gt;1,"Yes","No")</f>
        <v>No</v>
      </c>
    </row>
    <row r="583" spans="1:16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4320</v>
      </c>
      <c r="M583" s="2" t="s">
        <v>4279</v>
      </c>
      <c r="N583" s="2">
        <v>627.34</v>
      </c>
      <c r="O583" t="str">
        <f t="shared" si="9"/>
        <v>November</v>
      </c>
      <c r="P583" t="str">
        <f t="array" ref="P583">IF(COUNTIF('Cleaned Dataset'!$C$2:$C$1201,C583)&gt;1,"Yes","No")</f>
        <v>No</v>
      </c>
    </row>
    <row r="584" spans="1:16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  <c r="O584" t="str">
        <f t="shared" si="9"/>
        <v>February</v>
      </c>
      <c r="P584" t="str">
        <f t="array" ref="P584">IF(COUNTIF('Cleaned Dataset'!$C$2:$C$1201,C584)&gt;1,"Yes","No")</f>
        <v>No</v>
      </c>
    </row>
    <row r="585" spans="1:16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4320</v>
      </c>
      <c r="M585" s="2" t="s">
        <v>4278</v>
      </c>
      <c r="N585" s="2">
        <v>463.11</v>
      </c>
      <c r="O585" t="str">
        <f t="shared" si="9"/>
        <v>June</v>
      </c>
      <c r="P585" t="str">
        <f t="array" ref="P585">IF(COUNTIF('Cleaned Dataset'!$C$2:$C$1201,C585)&gt;1,"Yes","No")</f>
        <v>No</v>
      </c>
    </row>
    <row r="586" spans="1:16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  <c r="O586" t="str">
        <f t="shared" si="9"/>
        <v>March</v>
      </c>
      <c r="P586" t="str">
        <f t="array" ref="P586">IF(COUNTIF('Cleaned Dataset'!$C$2:$C$1201,C586)&gt;1,"Yes","No")</f>
        <v>No</v>
      </c>
    </row>
    <row r="587" spans="1:16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  <c r="O587" t="str">
        <f t="shared" si="9"/>
        <v>August</v>
      </c>
      <c r="P587" t="str">
        <f t="array" ref="P587">IF(COUNTIF('Cleaned Dataset'!$C$2:$C$1201,C587)&gt;1,"Yes","No")</f>
        <v>No</v>
      </c>
    </row>
    <row r="588" spans="1:16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  <c r="O588" t="str">
        <f t="shared" si="9"/>
        <v>November</v>
      </c>
      <c r="P588" t="str">
        <f t="array" ref="P588">IF(COUNTIF('Cleaned Dataset'!$C$2:$C$1201,C588)&gt;1,"Yes","No")</f>
        <v>No</v>
      </c>
    </row>
    <row r="589" spans="1:16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  <c r="O589" t="str">
        <f t="shared" si="9"/>
        <v>June</v>
      </c>
      <c r="P589" t="str">
        <f t="array" ref="P589">IF(COUNTIF('Cleaned Dataset'!$C$2:$C$1201,C589)&gt;1,"Yes","No")</f>
        <v>No</v>
      </c>
    </row>
    <row r="590" spans="1:16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4320</v>
      </c>
      <c r="M590" s="2" t="s">
        <v>4282</v>
      </c>
      <c r="N590" s="2">
        <v>2311.2800000000002</v>
      </c>
      <c r="O590" t="str">
        <f t="shared" si="9"/>
        <v>December</v>
      </c>
      <c r="P590" t="str">
        <f t="array" ref="P590">IF(COUNTIF('Cleaned Dataset'!$C$2:$C$1201,C590)&gt;1,"Yes","No")</f>
        <v>No</v>
      </c>
    </row>
    <row r="591" spans="1:16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  <c r="O591" t="str">
        <f t="shared" si="9"/>
        <v>February</v>
      </c>
      <c r="P591" t="str">
        <f t="array" ref="P591">IF(COUNTIF('Cleaned Dataset'!$C$2:$C$1201,C591)&gt;1,"Yes","No")</f>
        <v>No</v>
      </c>
    </row>
    <row r="592" spans="1:16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4320</v>
      </c>
      <c r="M592" s="2" t="s">
        <v>4280</v>
      </c>
      <c r="N592" s="2">
        <v>922.26</v>
      </c>
      <c r="O592" t="str">
        <f t="shared" si="9"/>
        <v>September</v>
      </c>
      <c r="P592" t="str">
        <f t="array" ref="P592">IF(COUNTIF('Cleaned Dataset'!$C$2:$C$1201,C592)&gt;1,"Yes","No")</f>
        <v>No</v>
      </c>
    </row>
    <row r="593" spans="1:16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  <c r="O593" t="str">
        <f t="shared" si="9"/>
        <v>November</v>
      </c>
      <c r="P593" t="str">
        <f t="array" ref="P593">IF(COUNTIF('Cleaned Dataset'!$C$2:$C$1201,C593)&gt;1,"Yes","No")</f>
        <v>No</v>
      </c>
    </row>
    <row r="594" spans="1:16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4320</v>
      </c>
      <c r="M594" s="2" t="s">
        <v>4282</v>
      </c>
      <c r="N594" s="2">
        <v>612.81000000000006</v>
      </c>
      <c r="O594" t="str">
        <f t="shared" si="9"/>
        <v>April</v>
      </c>
      <c r="P594" t="str">
        <f t="array" ref="P594">IF(COUNTIF('Cleaned Dataset'!$C$2:$C$1201,C594)&gt;1,"Yes","No")</f>
        <v>No</v>
      </c>
    </row>
    <row r="595" spans="1:16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  <c r="O595" t="str">
        <f t="shared" si="9"/>
        <v>August</v>
      </c>
      <c r="P595" t="str">
        <f t="array" ref="P595">IF(COUNTIF('Cleaned Dataset'!$C$2:$C$1201,C595)&gt;1,"Yes","No")</f>
        <v>No</v>
      </c>
    </row>
    <row r="596" spans="1:16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4320</v>
      </c>
      <c r="M596" s="2" t="s">
        <v>4280</v>
      </c>
      <c r="N596" s="2">
        <v>363.2</v>
      </c>
      <c r="O596" t="str">
        <f t="shared" si="9"/>
        <v>February</v>
      </c>
      <c r="P596" t="str">
        <f t="array" ref="P596">IF(COUNTIF('Cleaned Dataset'!$C$2:$C$1201,C596)&gt;1,"Yes","No")</f>
        <v>No</v>
      </c>
    </row>
    <row r="597" spans="1:16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  <c r="O597" t="str">
        <f t="shared" si="9"/>
        <v>January</v>
      </c>
      <c r="P597" t="str">
        <f t="array" ref="P597">IF(COUNTIF('Cleaned Dataset'!$C$2:$C$1201,C597)&gt;1,"Yes","No")</f>
        <v>No</v>
      </c>
    </row>
    <row r="598" spans="1:16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  <c r="O598" t="str">
        <f t="shared" si="9"/>
        <v>June</v>
      </c>
      <c r="P598" t="str">
        <f t="array" ref="P598">IF(COUNTIF('Cleaned Dataset'!$C$2:$C$1201,C598)&gt;1,"Yes","No")</f>
        <v>No</v>
      </c>
    </row>
    <row r="599" spans="1:16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  <c r="O599" t="str">
        <f t="shared" si="9"/>
        <v>November</v>
      </c>
      <c r="P599" t="str">
        <f t="array" ref="P599">IF(COUNTIF('Cleaned Dataset'!$C$2:$C$1201,C599)&gt;1,"Yes","No")</f>
        <v>No</v>
      </c>
    </row>
    <row r="600" spans="1:16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4320</v>
      </c>
      <c r="M600" s="2" t="s">
        <v>4281</v>
      </c>
      <c r="N600" s="2">
        <v>2476.75</v>
      </c>
      <c r="O600" t="str">
        <f t="shared" si="9"/>
        <v>April</v>
      </c>
      <c r="P600" t="str">
        <f t="array" ref="P600">IF(COUNTIF('Cleaned Dataset'!$C$2:$C$1201,C600)&gt;1,"Yes","No")</f>
        <v>No</v>
      </c>
    </row>
    <row r="601" spans="1:16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  <c r="O601" t="str">
        <f t="shared" si="9"/>
        <v>June</v>
      </c>
      <c r="P601" t="str">
        <f t="array" ref="P601">IF(COUNTIF('Cleaned Dataset'!$C$2:$C$1201,C601)&gt;1,"Yes","No")</f>
        <v>No</v>
      </c>
    </row>
    <row r="602" spans="1:16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  <c r="O602" t="str">
        <f t="shared" si="9"/>
        <v>May</v>
      </c>
      <c r="P602" t="str">
        <f t="array" ref="P602">IF(COUNTIF('Cleaned Dataset'!$C$2:$C$1201,C602)&gt;1,"Yes","No")</f>
        <v>No</v>
      </c>
    </row>
    <row r="603" spans="1:16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4320</v>
      </c>
      <c r="M603" s="2" t="s">
        <v>4279</v>
      </c>
      <c r="N603" s="2">
        <v>124.1</v>
      </c>
      <c r="O603" t="str">
        <f t="shared" si="9"/>
        <v>October</v>
      </c>
      <c r="P603" t="str">
        <f t="array" ref="P603">IF(COUNTIF('Cleaned Dataset'!$C$2:$C$1201,C603)&gt;1,"Yes","No")</f>
        <v>No</v>
      </c>
    </row>
    <row r="604" spans="1:16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  <c r="O604" t="str">
        <f t="shared" si="9"/>
        <v>March</v>
      </c>
      <c r="P604" t="str">
        <f t="array" ref="P604">IF(COUNTIF('Cleaned Dataset'!$C$2:$C$1201,C604)&gt;1,"Yes","No")</f>
        <v>Yes</v>
      </c>
    </row>
    <row r="605" spans="1:16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  <c r="O605" t="str">
        <f t="shared" si="9"/>
        <v>October</v>
      </c>
      <c r="P605" t="str">
        <f t="array" ref="P605">IF(COUNTIF('Cleaned Dataset'!$C$2:$C$1201,C605)&gt;1,"Yes","No")</f>
        <v>No</v>
      </c>
    </row>
    <row r="606" spans="1:16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4320</v>
      </c>
      <c r="M606" s="2" t="s">
        <v>4281</v>
      </c>
      <c r="N606" s="2">
        <v>97.859999999999985</v>
      </c>
      <c r="O606" t="str">
        <f t="shared" si="9"/>
        <v>June</v>
      </c>
      <c r="P606" t="str">
        <f t="array" ref="P606">IF(COUNTIF('Cleaned Dataset'!$C$2:$C$1201,C606)&gt;1,"Yes","No")</f>
        <v>No</v>
      </c>
    </row>
    <row r="607" spans="1:16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  <c r="O607" t="str">
        <f t="shared" si="9"/>
        <v>May</v>
      </c>
      <c r="P607" t="str">
        <f t="array" ref="P607">IF(COUNTIF('Cleaned Dataset'!$C$2:$C$1201,C607)&gt;1,"Yes","No")</f>
        <v>No</v>
      </c>
    </row>
    <row r="608" spans="1:16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  <c r="O608" t="str">
        <f t="shared" si="9"/>
        <v>November</v>
      </c>
      <c r="P608" t="str">
        <f t="array" ref="P608">IF(COUNTIF('Cleaned Dataset'!$C$2:$C$1201,C608)&gt;1,"Yes","No")</f>
        <v>No</v>
      </c>
    </row>
    <row r="609" spans="1:16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  <c r="O609" t="str">
        <f t="shared" si="9"/>
        <v>May</v>
      </c>
      <c r="P609" t="str">
        <f t="array" ref="P609">IF(COUNTIF('Cleaned Dataset'!$C$2:$C$1201,C609)&gt;1,"Yes","No")</f>
        <v>No</v>
      </c>
    </row>
    <row r="610" spans="1:16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  <c r="O610" t="str">
        <f t="shared" si="9"/>
        <v>July</v>
      </c>
      <c r="P610" t="str">
        <f t="array" ref="P610">IF(COUNTIF('Cleaned Dataset'!$C$2:$C$1201,C610)&gt;1,"Yes","No")</f>
        <v>No</v>
      </c>
    </row>
    <row r="611" spans="1:16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  <c r="O611" t="str">
        <f t="shared" si="9"/>
        <v>January</v>
      </c>
      <c r="P611" t="str">
        <f t="array" ref="P611">IF(COUNTIF('Cleaned Dataset'!$C$2:$C$1201,C611)&gt;1,"Yes","No")</f>
        <v>No</v>
      </c>
    </row>
    <row r="612" spans="1:16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  <c r="O612" t="str">
        <f t="shared" si="9"/>
        <v>June</v>
      </c>
      <c r="P612" t="str">
        <f t="array" ref="P612">IF(COUNTIF('Cleaned Dataset'!$C$2:$C$1201,C612)&gt;1,"Yes","No")</f>
        <v>No</v>
      </c>
    </row>
    <row r="613" spans="1:16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  <c r="O613" t="str">
        <f t="shared" si="9"/>
        <v>April</v>
      </c>
      <c r="P613" t="str">
        <f t="array" ref="P613">IF(COUNTIF('Cleaned Dataset'!$C$2:$C$1201,C613)&gt;1,"Yes","No")</f>
        <v>No</v>
      </c>
    </row>
    <row r="614" spans="1:16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4320</v>
      </c>
      <c r="M614" s="2" t="s">
        <v>4282</v>
      </c>
      <c r="N614" s="2">
        <v>1335.36</v>
      </c>
      <c r="O614" t="str">
        <f t="shared" si="9"/>
        <v>June</v>
      </c>
      <c r="P614" t="str">
        <f t="array" ref="P614">IF(COUNTIF('Cleaned Dataset'!$C$2:$C$1201,C614)&gt;1,"Yes","No")</f>
        <v>No</v>
      </c>
    </row>
    <row r="615" spans="1:16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  <c r="O615" t="str">
        <f t="shared" si="9"/>
        <v>December</v>
      </c>
      <c r="P615" t="str">
        <f t="array" ref="P615">IF(COUNTIF('Cleaned Dataset'!$C$2:$C$1201,C615)&gt;1,"Yes","No")</f>
        <v>No</v>
      </c>
    </row>
    <row r="616" spans="1:16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4320</v>
      </c>
      <c r="M616" s="2" t="s">
        <v>4279</v>
      </c>
      <c r="N616" s="2">
        <v>96.81</v>
      </c>
      <c r="O616" t="str">
        <f t="shared" si="9"/>
        <v>March</v>
      </c>
      <c r="P616" t="str">
        <f t="array" ref="P616">IF(COUNTIF('Cleaned Dataset'!$C$2:$C$1201,C616)&gt;1,"Yes","No")</f>
        <v>No</v>
      </c>
    </row>
    <row r="617" spans="1:16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  <c r="O617" t="str">
        <f t="shared" si="9"/>
        <v>March</v>
      </c>
      <c r="P617" t="str">
        <f t="array" ref="P617">IF(COUNTIF('Cleaned Dataset'!$C$2:$C$1201,C617)&gt;1,"Yes","No")</f>
        <v>No</v>
      </c>
    </row>
    <row r="618" spans="1:16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  <c r="O618" t="str">
        <f t="shared" si="9"/>
        <v>October</v>
      </c>
      <c r="P618" t="str">
        <f t="array" ref="P618">IF(COUNTIF('Cleaned Dataset'!$C$2:$C$1201,C618)&gt;1,"Yes","No")</f>
        <v>No</v>
      </c>
    </row>
    <row r="619" spans="1:16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4320</v>
      </c>
      <c r="M619" s="2" t="s">
        <v>4279</v>
      </c>
      <c r="N619" s="2">
        <v>553.41</v>
      </c>
      <c r="O619" t="str">
        <f t="shared" si="9"/>
        <v>February</v>
      </c>
      <c r="P619" t="str">
        <f t="array" ref="P619">IF(COUNTIF('Cleaned Dataset'!$C$2:$C$1201,C619)&gt;1,"Yes","No")</f>
        <v>No</v>
      </c>
    </row>
    <row r="620" spans="1:16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4320</v>
      </c>
      <c r="M620" s="2" t="s">
        <v>4278</v>
      </c>
      <c r="N620" s="2">
        <v>411.34</v>
      </c>
      <c r="O620" t="str">
        <f t="shared" si="9"/>
        <v>September</v>
      </c>
      <c r="P620" t="str">
        <f t="array" ref="P620">IF(COUNTIF('Cleaned Dataset'!$C$2:$C$1201,C620)&gt;1,"Yes","No")</f>
        <v>No</v>
      </c>
    </row>
    <row r="621" spans="1:16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4320</v>
      </c>
      <c r="M621" s="2" t="s">
        <v>4279</v>
      </c>
      <c r="N621" s="2">
        <v>532.89</v>
      </c>
      <c r="O621" t="str">
        <f t="shared" si="9"/>
        <v>July</v>
      </c>
      <c r="P621" t="str">
        <f t="array" ref="P621">IF(COUNTIF('Cleaned Dataset'!$C$2:$C$1201,C621)&gt;1,"Yes","No")</f>
        <v>No</v>
      </c>
    </row>
    <row r="622" spans="1:16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  <c r="O622" t="str">
        <f t="shared" si="9"/>
        <v>March</v>
      </c>
      <c r="P622" t="str">
        <f t="array" ref="P622">IF(COUNTIF('Cleaned Dataset'!$C$2:$C$1201,C622)&gt;1,"Yes","No")</f>
        <v>No</v>
      </c>
    </row>
    <row r="623" spans="1:16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  <c r="O623" t="str">
        <f t="shared" si="9"/>
        <v>October</v>
      </c>
      <c r="P623" t="str">
        <f t="array" ref="P623">IF(COUNTIF('Cleaned Dataset'!$C$2:$C$1201,C623)&gt;1,"Yes","No")</f>
        <v>No</v>
      </c>
    </row>
    <row r="624" spans="1:16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4320</v>
      </c>
      <c r="M624" s="2" t="s">
        <v>4281</v>
      </c>
      <c r="N624" s="2">
        <v>1181.9000000000001</v>
      </c>
      <c r="O624" t="str">
        <f t="shared" si="9"/>
        <v>November</v>
      </c>
      <c r="P624" t="str">
        <f t="array" ref="P624">IF(COUNTIF('Cleaned Dataset'!$C$2:$C$1201,C624)&gt;1,"Yes","No")</f>
        <v>No</v>
      </c>
    </row>
    <row r="625" spans="1:16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  <c r="O625" t="str">
        <f t="shared" si="9"/>
        <v>June</v>
      </c>
      <c r="P625" t="str">
        <f t="array" ref="P625">IF(COUNTIF('Cleaned Dataset'!$C$2:$C$1201,C625)&gt;1,"Yes","No")</f>
        <v>No</v>
      </c>
    </row>
    <row r="626" spans="1:16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4320</v>
      </c>
      <c r="M626" s="2" t="s">
        <v>4280</v>
      </c>
      <c r="N626" s="2">
        <v>1709.8</v>
      </c>
      <c r="O626" t="str">
        <f t="shared" si="9"/>
        <v>January</v>
      </c>
      <c r="P626" t="str">
        <f t="array" ref="P626">IF(COUNTIF('Cleaned Dataset'!$C$2:$C$1201,C626)&gt;1,"Yes","No")</f>
        <v>No</v>
      </c>
    </row>
    <row r="627" spans="1:16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  <c r="O627" t="str">
        <f t="shared" si="9"/>
        <v>September</v>
      </c>
      <c r="P627" t="str">
        <f t="array" ref="P627">IF(COUNTIF('Cleaned Dataset'!$C$2:$C$1201,C627)&gt;1,"Yes","No")</f>
        <v>No</v>
      </c>
    </row>
    <row r="628" spans="1:16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  <c r="O628" t="str">
        <f t="shared" si="9"/>
        <v>March</v>
      </c>
      <c r="P628" t="str">
        <f t="array" ref="P628">IF(COUNTIF('Cleaned Dataset'!$C$2:$C$1201,C628)&gt;1,"Yes","No")</f>
        <v>No</v>
      </c>
    </row>
    <row r="629" spans="1:16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  <c r="O629" t="str">
        <f t="shared" si="9"/>
        <v>August</v>
      </c>
      <c r="P629" t="str">
        <f t="array" ref="P629">IF(COUNTIF('Cleaned Dataset'!$C$2:$C$1201,C629)&gt;1,"Yes","No")</f>
        <v>No</v>
      </c>
    </row>
    <row r="630" spans="1:16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  <c r="O630" t="str">
        <f t="shared" si="9"/>
        <v>March</v>
      </c>
      <c r="P630" t="str">
        <f t="array" ref="P630">IF(COUNTIF('Cleaned Dataset'!$C$2:$C$1201,C630)&gt;1,"Yes","No")</f>
        <v>No</v>
      </c>
    </row>
    <row r="631" spans="1:16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4320</v>
      </c>
      <c r="M631" s="2" t="s">
        <v>4279</v>
      </c>
      <c r="N631" s="2">
        <v>59.19</v>
      </c>
      <c r="O631" t="str">
        <f t="shared" si="9"/>
        <v>July</v>
      </c>
      <c r="P631" t="str">
        <f t="array" ref="P631">IF(COUNTIF('Cleaned Dataset'!$C$2:$C$1201,C631)&gt;1,"Yes","No")</f>
        <v>No</v>
      </c>
    </row>
    <row r="632" spans="1:16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4320</v>
      </c>
      <c r="M632" s="2" t="s">
        <v>4278</v>
      </c>
      <c r="N632" s="2">
        <v>1244.2</v>
      </c>
      <c r="O632" t="str">
        <f t="shared" si="9"/>
        <v>June</v>
      </c>
      <c r="P632" t="str">
        <f t="array" ref="P632">IF(COUNTIF('Cleaned Dataset'!$C$2:$C$1201,C632)&gt;1,"Yes","No")</f>
        <v>No</v>
      </c>
    </row>
    <row r="633" spans="1:16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  <c r="O633" t="str">
        <f t="shared" si="9"/>
        <v>August</v>
      </c>
      <c r="P633" t="str">
        <f t="array" ref="P633">IF(COUNTIF('Cleaned Dataset'!$C$2:$C$1201,C633)&gt;1,"Yes","No")</f>
        <v>No</v>
      </c>
    </row>
    <row r="634" spans="1:16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  <c r="O634" t="str">
        <f t="shared" si="9"/>
        <v>May</v>
      </c>
      <c r="P634" t="str">
        <f t="array" ref="P634">IF(COUNTIF('Cleaned Dataset'!$C$2:$C$1201,C634)&gt;1,"Yes","No")</f>
        <v>No</v>
      </c>
    </row>
    <row r="635" spans="1:16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  <c r="O635" t="str">
        <f t="shared" si="9"/>
        <v>April</v>
      </c>
      <c r="P635" t="str">
        <f t="array" ref="P635">IF(COUNTIF('Cleaned Dataset'!$C$2:$C$1201,C635)&gt;1,"Yes","No")</f>
        <v>No</v>
      </c>
    </row>
    <row r="636" spans="1:16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  <c r="O636" t="str">
        <f t="shared" si="9"/>
        <v>April</v>
      </c>
      <c r="P636" t="str">
        <f t="array" ref="P636">IF(COUNTIF('Cleaned Dataset'!$C$2:$C$1201,C636)&gt;1,"Yes","No")</f>
        <v>No</v>
      </c>
    </row>
    <row r="637" spans="1:16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4320</v>
      </c>
      <c r="M637" s="2" t="s">
        <v>4281</v>
      </c>
      <c r="N637" s="2">
        <v>191.04</v>
      </c>
      <c r="O637" t="str">
        <f t="shared" si="9"/>
        <v>December</v>
      </c>
      <c r="P637" t="str">
        <f t="array" ref="P637">IF(COUNTIF('Cleaned Dataset'!$C$2:$C$1201,C637)&gt;1,"Yes","No")</f>
        <v>No</v>
      </c>
    </row>
    <row r="638" spans="1:16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  <c r="O638" t="str">
        <f t="shared" si="9"/>
        <v>October</v>
      </c>
      <c r="P638" t="str">
        <f t="array" ref="P638">IF(COUNTIF('Cleaned Dataset'!$C$2:$C$1201,C638)&gt;1,"Yes","No")</f>
        <v>No</v>
      </c>
    </row>
    <row r="639" spans="1:16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  <c r="O639" t="str">
        <f t="shared" si="9"/>
        <v>September</v>
      </c>
      <c r="P639" t="str">
        <f t="array" ref="P639">IF(COUNTIF('Cleaned Dataset'!$C$2:$C$1201,C639)&gt;1,"Yes","No")</f>
        <v>No</v>
      </c>
    </row>
    <row r="640" spans="1:16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  <c r="O640" t="str">
        <f t="shared" si="9"/>
        <v>October</v>
      </c>
      <c r="P640" t="str">
        <f t="array" ref="P640">IF(COUNTIF('Cleaned Dataset'!$C$2:$C$1201,C640)&gt;1,"Yes","No")</f>
        <v>No</v>
      </c>
    </row>
    <row r="641" spans="1:16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4320</v>
      </c>
      <c r="M641" s="2" t="s">
        <v>4279</v>
      </c>
      <c r="N641" s="2">
        <v>529.19000000000005</v>
      </c>
      <c r="O641" t="str">
        <f t="shared" si="9"/>
        <v>January</v>
      </c>
      <c r="P641" t="str">
        <f t="array" ref="P641">IF(COUNTIF('Cleaned Dataset'!$C$2:$C$1201,C641)&gt;1,"Yes","No")</f>
        <v>No</v>
      </c>
    </row>
    <row r="642" spans="1:16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  <c r="O642" t="str">
        <f t="shared" si="9"/>
        <v>February</v>
      </c>
      <c r="P642" t="str">
        <f t="array" ref="P642">IF(COUNTIF('Cleaned Dataset'!$C$2:$C$1201,C642)&gt;1,"Yes","No")</f>
        <v>No</v>
      </c>
    </row>
    <row r="643" spans="1:16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  <c r="O643" t="str">
        <f t="shared" ref="O643:O706" si="10">TEXT(B643,"mmmm")</f>
        <v>June</v>
      </c>
      <c r="P643" t="str">
        <f t="array" ref="P643">IF(COUNTIF('Cleaned Dataset'!$C$2:$C$1201,C643)&gt;1,"Yes","No")</f>
        <v>No</v>
      </c>
    </row>
    <row r="644" spans="1:16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  <c r="O644" t="str">
        <f t="shared" si="10"/>
        <v>April</v>
      </c>
      <c r="P644" t="str">
        <f t="array" ref="P644">IF(COUNTIF('Cleaned Dataset'!$C$2:$C$1201,C644)&gt;1,"Yes","No")</f>
        <v>No</v>
      </c>
    </row>
    <row r="645" spans="1:16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  <c r="O645" t="str">
        <f t="shared" si="10"/>
        <v>August</v>
      </c>
      <c r="P645" t="str">
        <f t="array" ref="P645">IF(COUNTIF('Cleaned Dataset'!$C$2:$C$1201,C645)&gt;1,"Yes","No")</f>
        <v>No</v>
      </c>
    </row>
    <row r="646" spans="1:16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  <c r="O646" t="str">
        <f t="shared" si="10"/>
        <v>November</v>
      </c>
      <c r="P646" t="str">
        <f t="array" ref="P646">IF(COUNTIF('Cleaned Dataset'!$C$2:$C$1201,C646)&gt;1,"Yes","No")</f>
        <v>No</v>
      </c>
    </row>
    <row r="647" spans="1:16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  <c r="O647" t="str">
        <f t="shared" si="10"/>
        <v>January</v>
      </c>
      <c r="P647" t="str">
        <f t="array" ref="P647">IF(COUNTIF('Cleaned Dataset'!$C$2:$C$1201,C647)&gt;1,"Yes","No")</f>
        <v>No</v>
      </c>
    </row>
    <row r="648" spans="1:16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  <c r="O648" t="str">
        <f t="shared" si="10"/>
        <v>October</v>
      </c>
      <c r="P648" t="str">
        <f t="array" ref="P648">IF(COUNTIF('Cleaned Dataset'!$C$2:$C$1201,C648)&gt;1,"Yes","No")</f>
        <v>No</v>
      </c>
    </row>
    <row r="649" spans="1:16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  <c r="O649" t="str">
        <f t="shared" si="10"/>
        <v>April</v>
      </c>
      <c r="P649" t="str">
        <f t="array" ref="P649">IF(COUNTIF('Cleaned Dataset'!$C$2:$C$1201,C649)&gt;1,"Yes","No")</f>
        <v>No</v>
      </c>
    </row>
    <row r="650" spans="1:16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  <c r="O650" t="str">
        <f t="shared" si="10"/>
        <v>January</v>
      </c>
      <c r="P650" t="str">
        <f t="array" ref="P650">IF(COUNTIF('Cleaned Dataset'!$C$2:$C$1201,C650)&gt;1,"Yes","No")</f>
        <v>No</v>
      </c>
    </row>
    <row r="651" spans="1:16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  <c r="O651" t="str">
        <f t="shared" si="10"/>
        <v>December</v>
      </c>
      <c r="P651" t="str">
        <f t="array" ref="P651">IF(COUNTIF('Cleaned Dataset'!$C$2:$C$1201,C651)&gt;1,"Yes","No")</f>
        <v>No</v>
      </c>
    </row>
    <row r="652" spans="1:16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  <c r="O652" t="str">
        <f t="shared" si="10"/>
        <v>May</v>
      </c>
      <c r="P652" t="str">
        <f t="array" ref="P652">IF(COUNTIF('Cleaned Dataset'!$C$2:$C$1201,C652)&gt;1,"Yes","No")</f>
        <v>No</v>
      </c>
    </row>
    <row r="653" spans="1:16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4320</v>
      </c>
      <c r="M653" s="2" t="s">
        <v>4282</v>
      </c>
      <c r="N653" s="2">
        <v>1939.02</v>
      </c>
      <c r="O653" t="str">
        <f t="shared" si="10"/>
        <v>November</v>
      </c>
      <c r="P653" t="str">
        <f t="array" ref="P653">IF(COUNTIF('Cleaned Dataset'!$C$2:$C$1201,C653)&gt;1,"Yes","No")</f>
        <v>No</v>
      </c>
    </row>
    <row r="654" spans="1:16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  <c r="O654" t="str">
        <f t="shared" si="10"/>
        <v>June</v>
      </c>
      <c r="P654" t="str">
        <f t="array" ref="P654">IF(COUNTIF('Cleaned Dataset'!$C$2:$C$1201,C654)&gt;1,"Yes","No")</f>
        <v>No</v>
      </c>
    </row>
    <row r="655" spans="1:16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  <c r="O655" t="str">
        <f t="shared" si="10"/>
        <v>February</v>
      </c>
      <c r="P655" t="str">
        <f t="array" ref="P655">IF(COUNTIF('Cleaned Dataset'!$C$2:$C$1201,C655)&gt;1,"Yes","No")</f>
        <v>No</v>
      </c>
    </row>
    <row r="656" spans="1:16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4320</v>
      </c>
      <c r="M656" s="2" t="s">
        <v>4278</v>
      </c>
      <c r="N656" s="2">
        <v>1147.1099999999999</v>
      </c>
      <c r="O656" t="str">
        <f t="shared" si="10"/>
        <v>June</v>
      </c>
      <c r="P656" t="str">
        <f t="array" ref="P656">IF(COUNTIF('Cleaned Dataset'!$C$2:$C$1201,C656)&gt;1,"Yes","No")</f>
        <v>No</v>
      </c>
    </row>
    <row r="657" spans="1:16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  <c r="O657" t="str">
        <f t="shared" si="10"/>
        <v>March</v>
      </c>
      <c r="P657" t="str">
        <f t="array" ref="P657">IF(COUNTIF('Cleaned Dataset'!$C$2:$C$1201,C657)&gt;1,"Yes","No")</f>
        <v>No</v>
      </c>
    </row>
    <row r="658" spans="1:16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  <c r="O658" t="str">
        <f t="shared" si="10"/>
        <v>January</v>
      </c>
      <c r="P658" t="str">
        <f t="array" ref="P658">IF(COUNTIF('Cleaned Dataset'!$C$2:$C$1201,C658)&gt;1,"Yes","No")</f>
        <v>No</v>
      </c>
    </row>
    <row r="659" spans="1:16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  <c r="O659" t="str">
        <f t="shared" si="10"/>
        <v>December</v>
      </c>
      <c r="P659" t="str">
        <f t="array" ref="P659">IF(COUNTIF('Cleaned Dataset'!$C$2:$C$1201,C659)&gt;1,"Yes","No")</f>
        <v>No</v>
      </c>
    </row>
    <row r="660" spans="1:16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  <c r="O660" t="str">
        <f t="shared" si="10"/>
        <v>April</v>
      </c>
      <c r="P660" t="str">
        <f t="array" ref="P660">IF(COUNTIF('Cleaned Dataset'!$C$2:$C$1201,C660)&gt;1,"Yes","No")</f>
        <v>No</v>
      </c>
    </row>
    <row r="661" spans="1:16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  <c r="O661" t="str">
        <f t="shared" si="10"/>
        <v>October</v>
      </c>
      <c r="P661" t="str">
        <f t="array" ref="P661">IF(COUNTIF('Cleaned Dataset'!$C$2:$C$1201,C661)&gt;1,"Yes","No")</f>
        <v>No</v>
      </c>
    </row>
    <row r="662" spans="1:16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  <c r="O662" t="str">
        <f t="shared" si="10"/>
        <v>October</v>
      </c>
      <c r="P662" t="str">
        <f t="array" ref="P662">IF(COUNTIF('Cleaned Dataset'!$C$2:$C$1201,C662)&gt;1,"Yes","No")</f>
        <v>No</v>
      </c>
    </row>
    <row r="663" spans="1:16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  <c r="O663" t="str">
        <f t="shared" si="10"/>
        <v>February</v>
      </c>
      <c r="P663" t="str">
        <f t="array" ref="P663">IF(COUNTIF('Cleaned Dataset'!$C$2:$C$1201,C663)&gt;1,"Yes","No")</f>
        <v>No</v>
      </c>
    </row>
    <row r="664" spans="1:16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4320</v>
      </c>
      <c r="M664" s="2" t="s">
        <v>4281</v>
      </c>
      <c r="N664" s="2">
        <v>1316.67</v>
      </c>
      <c r="O664" t="str">
        <f t="shared" si="10"/>
        <v>January</v>
      </c>
      <c r="P664" t="str">
        <f t="array" ref="P664">IF(COUNTIF('Cleaned Dataset'!$C$2:$C$1201,C664)&gt;1,"Yes","No")</f>
        <v>No</v>
      </c>
    </row>
    <row r="665" spans="1:16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  <c r="O665" t="str">
        <f t="shared" si="10"/>
        <v>April</v>
      </c>
      <c r="P665" t="str">
        <f t="array" ref="P665">IF(COUNTIF('Cleaned Dataset'!$C$2:$C$1201,C665)&gt;1,"Yes","No")</f>
        <v>No</v>
      </c>
    </row>
    <row r="666" spans="1:16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4320</v>
      </c>
      <c r="M666" s="2" t="s">
        <v>4281</v>
      </c>
      <c r="N666" s="2">
        <v>779</v>
      </c>
      <c r="O666" t="str">
        <f t="shared" si="10"/>
        <v>December</v>
      </c>
      <c r="P666" t="str">
        <f t="array" ref="P666">IF(COUNTIF('Cleaned Dataset'!$C$2:$C$1201,C666)&gt;1,"Yes","No")</f>
        <v>Yes</v>
      </c>
    </row>
    <row r="667" spans="1:16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  <c r="O667" t="str">
        <f t="shared" si="10"/>
        <v>May</v>
      </c>
      <c r="P667" t="str">
        <f t="array" ref="P667">IF(COUNTIF('Cleaned Dataset'!$C$2:$C$1201,C667)&gt;1,"Yes","No")</f>
        <v>No</v>
      </c>
    </row>
    <row r="668" spans="1:16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4320</v>
      </c>
      <c r="M668" s="2" t="s">
        <v>4280</v>
      </c>
      <c r="N668" s="2">
        <v>1308.48</v>
      </c>
      <c r="O668" t="str">
        <f t="shared" si="10"/>
        <v>August</v>
      </c>
      <c r="P668" t="str">
        <f t="array" ref="P668">IF(COUNTIF('Cleaned Dataset'!$C$2:$C$1201,C668)&gt;1,"Yes","No")</f>
        <v>No</v>
      </c>
    </row>
    <row r="669" spans="1:16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  <c r="O669" t="str">
        <f t="shared" si="10"/>
        <v>May</v>
      </c>
      <c r="P669" t="str">
        <f t="array" ref="P669">IF(COUNTIF('Cleaned Dataset'!$C$2:$C$1201,C669)&gt;1,"Yes","No")</f>
        <v>No</v>
      </c>
    </row>
    <row r="670" spans="1:16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  <c r="O670" t="str">
        <f t="shared" si="10"/>
        <v>July</v>
      </c>
      <c r="P670" t="str">
        <f t="array" ref="P670">IF(COUNTIF('Cleaned Dataset'!$C$2:$C$1201,C670)&gt;1,"Yes","No")</f>
        <v>No</v>
      </c>
    </row>
    <row r="671" spans="1:16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4320</v>
      </c>
      <c r="M671" s="2" t="s">
        <v>4279</v>
      </c>
      <c r="N671" s="2">
        <v>257</v>
      </c>
      <c r="O671" t="str">
        <f t="shared" si="10"/>
        <v>February</v>
      </c>
      <c r="P671" t="str">
        <f t="array" ref="P671">IF(COUNTIF('Cleaned Dataset'!$C$2:$C$1201,C671)&gt;1,"Yes","No")</f>
        <v>No</v>
      </c>
    </row>
    <row r="672" spans="1:16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  <c r="O672" t="str">
        <f t="shared" si="10"/>
        <v>April</v>
      </c>
      <c r="P672" t="str">
        <f t="array" ref="P672">IF(COUNTIF('Cleaned Dataset'!$C$2:$C$1201,C672)&gt;1,"Yes","No")</f>
        <v>No</v>
      </c>
    </row>
    <row r="673" spans="1:16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  <c r="O673" t="str">
        <f t="shared" si="10"/>
        <v>June</v>
      </c>
      <c r="P673" t="str">
        <f t="array" ref="P673">IF(COUNTIF('Cleaned Dataset'!$C$2:$C$1201,C673)&gt;1,"Yes","No")</f>
        <v>No</v>
      </c>
    </row>
    <row r="674" spans="1:16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  <c r="O674" t="str">
        <f t="shared" si="10"/>
        <v>May</v>
      </c>
      <c r="P674" t="str">
        <f t="array" ref="P674">IF(COUNTIF('Cleaned Dataset'!$C$2:$C$1201,C674)&gt;1,"Yes","No")</f>
        <v>No</v>
      </c>
    </row>
    <row r="675" spans="1:16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  <c r="O675" t="str">
        <f t="shared" si="10"/>
        <v>February</v>
      </c>
      <c r="P675" t="str">
        <f t="array" ref="P675">IF(COUNTIF('Cleaned Dataset'!$C$2:$C$1201,C675)&gt;1,"Yes","No")</f>
        <v>No</v>
      </c>
    </row>
    <row r="676" spans="1:16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  <c r="O676" t="str">
        <f t="shared" si="10"/>
        <v>January</v>
      </c>
      <c r="P676" t="str">
        <f t="array" ref="P676">IF(COUNTIF('Cleaned Dataset'!$C$2:$C$1201,C676)&gt;1,"Yes","No")</f>
        <v>No</v>
      </c>
    </row>
    <row r="677" spans="1:16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4320</v>
      </c>
      <c r="M677" s="2" t="s">
        <v>4280</v>
      </c>
      <c r="N677" s="2">
        <v>1026.06</v>
      </c>
      <c r="O677" t="str">
        <f t="shared" si="10"/>
        <v>August</v>
      </c>
      <c r="P677" t="str">
        <f t="array" ref="P677">IF(COUNTIF('Cleaned Dataset'!$C$2:$C$1201,C677)&gt;1,"Yes","No")</f>
        <v>No</v>
      </c>
    </row>
    <row r="678" spans="1:16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  <c r="O678" t="str">
        <f t="shared" si="10"/>
        <v>June</v>
      </c>
      <c r="P678" t="str">
        <f t="array" ref="P678">IF(COUNTIF('Cleaned Dataset'!$C$2:$C$1201,C678)&gt;1,"Yes","No")</f>
        <v>No</v>
      </c>
    </row>
    <row r="679" spans="1:16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  <c r="O679" t="str">
        <f t="shared" si="10"/>
        <v>April</v>
      </c>
      <c r="P679" t="str">
        <f t="array" ref="P679">IF(COUNTIF('Cleaned Dataset'!$C$2:$C$1201,C679)&gt;1,"Yes","No")</f>
        <v>No</v>
      </c>
    </row>
    <row r="680" spans="1:16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  <c r="O680" t="str">
        <f t="shared" si="10"/>
        <v>November</v>
      </c>
      <c r="P680" t="str">
        <f t="array" ref="P680">IF(COUNTIF('Cleaned Dataset'!$C$2:$C$1201,C680)&gt;1,"Yes","No")</f>
        <v>No</v>
      </c>
    </row>
    <row r="681" spans="1:16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  <c r="O681" t="str">
        <f t="shared" si="10"/>
        <v>February</v>
      </c>
      <c r="P681" t="str">
        <f t="array" ref="P681">IF(COUNTIF('Cleaned Dataset'!$C$2:$C$1201,C681)&gt;1,"Yes","No")</f>
        <v>No</v>
      </c>
    </row>
    <row r="682" spans="1:16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4320</v>
      </c>
      <c r="M682" s="2" t="s">
        <v>4281</v>
      </c>
      <c r="N682" s="2">
        <v>1390.17</v>
      </c>
      <c r="O682" t="str">
        <f t="shared" si="10"/>
        <v>August</v>
      </c>
      <c r="P682" t="str">
        <f t="array" ref="P682">IF(COUNTIF('Cleaned Dataset'!$C$2:$C$1201,C682)&gt;1,"Yes","No")</f>
        <v>No</v>
      </c>
    </row>
    <row r="683" spans="1:16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4320</v>
      </c>
      <c r="M683" s="2" t="s">
        <v>4280</v>
      </c>
      <c r="N683" s="2">
        <v>155.27000000000001</v>
      </c>
      <c r="O683" t="str">
        <f t="shared" si="10"/>
        <v>January</v>
      </c>
      <c r="P683" t="str">
        <f t="array" ref="P683">IF(COUNTIF('Cleaned Dataset'!$C$2:$C$1201,C683)&gt;1,"Yes","No")</f>
        <v>No</v>
      </c>
    </row>
    <row r="684" spans="1:16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  <c r="O684" t="str">
        <f t="shared" si="10"/>
        <v>July</v>
      </c>
      <c r="P684" t="str">
        <f t="array" ref="P684">IF(COUNTIF('Cleaned Dataset'!$C$2:$C$1201,C684)&gt;1,"Yes","No")</f>
        <v>No</v>
      </c>
    </row>
    <row r="685" spans="1:16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  <c r="O685" t="str">
        <f t="shared" si="10"/>
        <v>May</v>
      </c>
      <c r="P685" t="str">
        <f t="array" ref="P685">IF(COUNTIF('Cleaned Dataset'!$C$2:$C$1201,C685)&gt;1,"Yes","No")</f>
        <v>No</v>
      </c>
    </row>
    <row r="686" spans="1:16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4320</v>
      </c>
      <c r="M686" s="2" t="s">
        <v>4280</v>
      </c>
      <c r="N686" s="2">
        <v>139.36000000000001</v>
      </c>
      <c r="O686" t="str">
        <f t="shared" si="10"/>
        <v>September</v>
      </c>
      <c r="P686" t="str">
        <f t="array" ref="P686">IF(COUNTIF('Cleaned Dataset'!$C$2:$C$1201,C686)&gt;1,"Yes","No")</f>
        <v>No</v>
      </c>
    </row>
    <row r="687" spans="1:16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  <c r="O687" t="str">
        <f t="shared" si="10"/>
        <v>February</v>
      </c>
      <c r="P687" t="str">
        <f t="array" ref="P687">IF(COUNTIF('Cleaned Dataset'!$C$2:$C$1201,C687)&gt;1,"Yes","No")</f>
        <v>No</v>
      </c>
    </row>
    <row r="688" spans="1:16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  <c r="O688" t="str">
        <f t="shared" si="10"/>
        <v>October</v>
      </c>
      <c r="P688" t="str">
        <f t="array" ref="P688">IF(COUNTIF('Cleaned Dataset'!$C$2:$C$1201,C688)&gt;1,"Yes","No")</f>
        <v>No</v>
      </c>
    </row>
    <row r="689" spans="1:16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  <c r="O689" t="str">
        <f t="shared" si="10"/>
        <v>September</v>
      </c>
      <c r="P689" t="str">
        <f t="array" ref="P689">IF(COUNTIF('Cleaned Dataset'!$C$2:$C$1201,C689)&gt;1,"Yes","No")</f>
        <v>No</v>
      </c>
    </row>
    <row r="690" spans="1:16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  <c r="O690" t="str">
        <f t="shared" si="10"/>
        <v>March</v>
      </c>
      <c r="P690" t="str">
        <f t="array" ref="P690">IF(COUNTIF('Cleaned Dataset'!$C$2:$C$1201,C690)&gt;1,"Yes","No")</f>
        <v>No</v>
      </c>
    </row>
    <row r="691" spans="1:16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4320</v>
      </c>
      <c r="M691" s="2" t="s">
        <v>4281</v>
      </c>
      <c r="N691" s="2">
        <v>889.68</v>
      </c>
      <c r="O691" t="str">
        <f t="shared" si="10"/>
        <v>August</v>
      </c>
      <c r="P691" t="str">
        <f t="array" ref="P691">IF(COUNTIF('Cleaned Dataset'!$C$2:$C$1201,C691)&gt;1,"Yes","No")</f>
        <v>No</v>
      </c>
    </row>
    <row r="692" spans="1:16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4320</v>
      </c>
      <c r="M692" s="2" t="s">
        <v>4278</v>
      </c>
      <c r="N692" s="2">
        <v>24.48</v>
      </c>
      <c r="O692" t="str">
        <f t="shared" si="10"/>
        <v>July</v>
      </c>
      <c r="P692" t="str">
        <f t="array" ref="P692">IF(COUNTIF('Cleaned Dataset'!$C$2:$C$1201,C692)&gt;1,"Yes","No")</f>
        <v>No</v>
      </c>
    </row>
    <row r="693" spans="1:16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4320</v>
      </c>
      <c r="M693" s="2" t="s">
        <v>4282</v>
      </c>
      <c r="N693" s="2">
        <v>717.24</v>
      </c>
      <c r="O693" t="str">
        <f t="shared" si="10"/>
        <v>November</v>
      </c>
      <c r="P693" t="str">
        <f t="array" ref="P693">IF(COUNTIF('Cleaned Dataset'!$C$2:$C$1201,C693)&gt;1,"Yes","No")</f>
        <v>No</v>
      </c>
    </row>
    <row r="694" spans="1:16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  <c r="O694" t="str">
        <f t="shared" si="10"/>
        <v>January</v>
      </c>
      <c r="P694" t="str">
        <f t="array" ref="P694">IF(COUNTIF('Cleaned Dataset'!$C$2:$C$1201,C694)&gt;1,"Yes","No")</f>
        <v>No</v>
      </c>
    </row>
    <row r="695" spans="1:16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4320</v>
      </c>
      <c r="M695" s="2" t="s">
        <v>4279</v>
      </c>
      <c r="N695" s="2">
        <v>176.58</v>
      </c>
      <c r="O695" t="str">
        <f t="shared" si="10"/>
        <v>March</v>
      </c>
      <c r="P695" t="str">
        <f t="array" ref="P695">IF(COUNTIF('Cleaned Dataset'!$C$2:$C$1201,C695)&gt;1,"Yes","No")</f>
        <v>No</v>
      </c>
    </row>
    <row r="696" spans="1:16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  <c r="O696" t="str">
        <f t="shared" si="10"/>
        <v>October</v>
      </c>
      <c r="P696" t="str">
        <f t="array" ref="P696">IF(COUNTIF('Cleaned Dataset'!$C$2:$C$1201,C696)&gt;1,"Yes","No")</f>
        <v>No</v>
      </c>
    </row>
    <row r="697" spans="1:16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  <c r="O697" t="str">
        <f t="shared" si="10"/>
        <v>November</v>
      </c>
      <c r="P697" t="str">
        <f t="array" ref="P697">IF(COUNTIF('Cleaned Dataset'!$C$2:$C$1201,C697)&gt;1,"Yes","No")</f>
        <v>No</v>
      </c>
    </row>
    <row r="698" spans="1:16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  <c r="O698" t="str">
        <f t="shared" si="10"/>
        <v>July</v>
      </c>
      <c r="P698" t="str">
        <f t="array" ref="P698">IF(COUNTIF('Cleaned Dataset'!$C$2:$C$1201,C698)&gt;1,"Yes","No")</f>
        <v>No</v>
      </c>
    </row>
    <row r="699" spans="1:16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  <c r="O699" t="str">
        <f t="shared" si="10"/>
        <v>February</v>
      </c>
      <c r="P699" t="str">
        <f t="array" ref="P699">IF(COUNTIF('Cleaned Dataset'!$C$2:$C$1201,C699)&gt;1,"Yes","No")</f>
        <v>No</v>
      </c>
    </row>
    <row r="700" spans="1:16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  <c r="O700" t="str">
        <f t="shared" si="10"/>
        <v>January</v>
      </c>
      <c r="P700" t="str">
        <f t="array" ref="P700">IF(COUNTIF('Cleaned Dataset'!$C$2:$C$1201,C700)&gt;1,"Yes","No")</f>
        <v>No</v>
      </c>
    </row>
    <row r="701" spans="1:16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4320</v>
      </c>
      <c r="M701" s="2" t="s">
        <v>4281</v>
      </c>
      <c r="N701" s="2">
        <v>1842.45</v>
      </c>
      <c r="O701" t="str">
        <f t="shared" si="10"/>
        <v>November</v>
      </c>
      <c r="P701" t="str">
        <f t="array" ref="P701">IF(COUNTIF('Cleaned Dataset'!$C$2:$C$1201,C701)&gt;1,"Yes","No")</f>
        <v>No</v>
      </c>
    </row>
    <row r="702" spans="1:16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  <c r="O702" t="str">
        <f t="shared" si="10"/>
        <v>September</v>
      </c>
      <c r="P702" t="str">
        <f t="array" ref="P702">IF(COUNTIF('Cleaned Dataset'!$C$2:$C$1201,C702)&gt;1,"Yes","No")</f>
        <v>No</v>
      </c>
    </row>
    <row r="703" spans="1:16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  <c r="O703" t="str">
        <f t="shared" si="10"/>
        <v>June</v>
      </c>
      <c r="P703" t="str">
        <f t="array" ref="P703">IF(COUNTIF('Cleaned Dataset'!$C$2:$C$1201,C703)&gt;1,"Yes","No")</f>
        <v>No</v>
      </c>
    </row>
    <row r="704" spans="1:16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4320</v>
      </c>
      <c r="M704" s="2" t="s">
        <v>4280</v>
      </c>
      <c r="N704" s="2">
        <v>1687.65</v>
      </c>
      <c r="O704" t="str">
        <f t="shared" si="10"/>
        <v>June</v>
      </c>
      <c r="P704" t="str">
        <f t="array" ref="P704">IF(COUNTIF('Cleaned Dataset'!$C$2:$C$1201,C704)&gt;1,"Yes","No")</f>
        <v>No</v>
      </c>
    </row>
    <row r="705" spans="1:16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  <c r="O705" t="str">
        <f t="shared" si="10"/>
        <v>March</v>
      </c>
      <c r="P705" t="str">
        <f t="array" ref="P705">IF(COUNTIF('Cleaned Dataset'!$C$2:$C$1201,C705)&gt;1,"Yes","No")</f>
        <v>No</v>
      </c>
    </row>
    <row r="706" spans="1:16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  <c r="O706" t="str">
        <f t="shared" si="10"/>
        <v>June</v>
      </c>
      <c r="P706" t="str">
        <f t="array" ref="P706">IF(COUNTIF('Cleaned Dataset'!$C$2:$C$1201,C706)&gt;1,"Yes","No")</f>
        <v>No</v>
      </c>
    </row>
    <row r="707" spans="1:16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  <c r="O707" t="str">
        <f t="shared" ref="O707:O770" si="11">TEXT(B707,"mmmm")</f>
        <v>March</v>
      </c>
      <c r="P707" t="str">
        <f t="array" ref="P707">IF(COUNTIF('Cleaned Dataset'!$C$2:$C$1201,C707)&gt;1,"Yes","No")</f>
        <v>No</v>
      </c>
    </row>
    <row r="708" spans="1:16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  <c r="O708" t="str">
        <f t="shared" si="11"/>
        <v>March</v>
      </c>
      <c r="P708" t="str">
        <f t="array" ref="P708">IF(COUNTIF('Cleaned Dataset'!$C$2:$C$1201,C708)&gt;1,"Yes","No")</f>
        <v>No</v>
      </c>
    </row>
    <row r="709" spans="1:16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  <c r="O709" t="str">
        <f t="shared" si="11"/>
        <v>November</v>
      </c>
      <c r="P709" t="str">
        <f t="array" ref="P709">IF(COUNTIF('Cleaned Dataset'!$C$2:$C$1201,C709)&gt;1,"Yes","No")</f>
        <v>No</v>
      </c>
    </row>
    <row r="710" spans="1:16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  <c r="O710" t="str">
        <f t="shared" si="11"/>
        <v>March</v>
      </c>
      <c r="P710" t="str">
        <f t="array" ref="P710">IF(COUNTIF('Cleaned Dataset'!$C$2:$C$1201,C710)&gt;1,"Yes","No")</f>
        <v>No</v>
      </c>
    </row>
    <row r="711" spans="1:16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  <c r="O711" t="str">
        <f t="shared" si="11"/>
        <v>December</v>
      </c>
      <c r="P711" t="str">
        <f t="array" ref="P711">IF(COUNTIF('Cleaned Dataset'!$C$2:$C$1201,C711)&gt;1,"Yes","No")</f>
        <v>No</v>
      </c>
    </row>
    <row r="712" spans="1:16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4320</v>
      </c>
      <c r="M712" s="2" t="s">
        <v>4282</v>
      </c>
      <c r="N712" s="2">
        <v>107.7</v>
      </c>
      <c r="O712" t="str">
        <f t="shared" si="11"/>
        <v>July</v>
      </c>
      <c r="P712" t="str">
        <f t="array" ref="P712">IF(COUNTIF('Cleaned Dataset'!$C$2:$C$1201,C712)&gt;1,"Yes","No")</f>
        <v>No</v>
      </c>
    </row>
    <row r="713" spans="1:16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  <c r="O713" t="str">
        <f t="shared" si="11"/>
        <v>July</v>
      </c>
      <c r="P713" t="str">
        <f t="array" ref="P713">IF(COUNTIF('Cleaned Dataset'!$C$2:$C$1201,C713)&gt;1,"Yes","No")</f>
        <v>No</v>
      </c>
    </row>
    <row r="714" spans="1:16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  <c r="O714" t="str">
        <f t="shared" si="11"/>
        <v>January</v>
      </c>
      <c r="P714" t="str">
        <f t="array" ref="P714">IF(COUNTIF('Cleaned Dataset'!$C$2:$C$1201,C714)&gt;1,"Yes","No")</f>
        <v>Yes</v>
      </c>
    </row>
    <row r="715" spans="1:16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  <c r="O715" t="str">
        <f t="shared" si="11"/>
        <v>June</v>
      </c>
      <c r="P715" t="str">
        <f t="array" ref="P715">IF(COUNTIF('Cleaned Dataset'!$C$2:$C$1201,C715)&gt;1,"Yes","No")</f>
        <v>No</v>
      </c>
    </row>
    <row r="716" spans="1:16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  <c r="O716" t="str">
        <f t="shared" si="11"/>
        <v>April</v>
      </c>
      <c r="P716" t="str">
        <f t="array" ref="P716">IF(COUNTIF('Cleaned Dataset'!$C$2:$C$1201,C716)&gt;1,"Yes","No")</f>
        <v>No</v>
      </c>
    </row>
    <row r="717" spans="1:16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  <c r="O717" t="str">
        <f t="shared" si="11"/>
        <v>July</v>
      </c>
      <c r="P717" t="str">
        <f t="array" ref="P717">IF(COUNTIF('Cleaned Dataset'!$C$2:$C$1201,C717)&gt;1,"Yes","No")</f>
        <v>No</v>
      </c>
    </row>
    <row r="718" spans="1:16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  <c r="O718" t="str">
        <f t="shared" si="11"/>
        <v>June</v>
      </c>
      <c r="P718" t="str">
        <f t="array" ref="P718">IF(COUNTIF('Cleaned Dataset'!$C$2:$C$1201,C718)&gt;1,"Yes","No")</f>
        <v>No</v>
      </c>
    </row>
    <row r="719" spans="1:16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  <c r="O719" t="str">
        <f t="shared" si="11"/>
        <v>October</v>
      </c>
      <c r="P719" t="str">
        <f t="array" ref="P719">IF(COUNTIF('Cleaned Dataset'!$C$2:$C$1201,C719)&gt;1,"Yes","No")</f>
        <v>No</v>
      </c>
    </row>
    <row r="720" spans="1:16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  <c r="O720" t="str">
        <f t="shared" si="11"/>
        <v>April</v>
      </c>
      <c r="P720" t="str">
        <f t="array" ref="P720">IF(COUNTIF('Cleaned Dataset'!$C$2:$C$1201,C720)&gt;1,"Yes","No")</f>
        <v>No</v>
      </c>
    </row>
    <row r="721" spans="1:16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  <c r="O721" t="str">
        <f t="shared" si="11"/>
        <v>January</v>
      </c>
      <c r="P721" t="str">
        <f t="array" ref="P721">IF(COUNTIF('Cleaned Dataset'!$C$2:$C$1201,C721)&gt;1,"Yes","No")</f>
        <v>No</v>
      </c>
    </row>
    <row r="722" spans="1:16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  <c r="O722" t="str">
        <f t="shared" si="11"/>
        <v>September</v>
      </c>
      <c r="P722" t="str">
        <f t="array" ref="P722">IF(COUNTIF('Cleaned Dataset'!$C$2:$C$1201,C722)&gt;1,"Yes","No")</f>
        <v>No</v>
      </c>
    </row>
    <row r="723" spans="1:16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4320</v>
      </c>
      <c r="M723" s="2" t="s">
        <v>4280</v>
      </c>
      <c r="N723" s="2">
        <v>237.18</v>
      </c>
      <c r="O723" t="str">
        <f t="shared" si="11"/>
        <v>March</v>
      </c>
      <c r="P723" t="str">
        <f t="array" ref="P723">IF(COUNTIF('Cleaned Dataset'!$C$2:$C$1201,C723)&gt;1,"Yes","No")</f>
        <v>No</v>
      </c>
    </row>
    <row r="724" spans="1:16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  <c r="O724" t="str">
        <f t="shared" si="11"/>
        <v>November</v>
      </c>
      <c r="P724" t="str">
        <f t="array" ref="P724">IF(COUNTIF('Cleaned Dataset'!$C$2:$C$1201,C724)&gt;1,"Yes","No")</f>
        <v>No</v>
      </c>
    </row>
    <row r="725" spans="1:16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  <c r="O725" t="str">
        <f t="shared" si="11"/>
        <v>December</v>
      </c>
      <c r="P725" t="str">
        <f t="array" ref="P725">IF(COUNTIF('Cleaned Dataset'!$C$2:$C$1201,C725)&gt;1,"Yes","No")</f>
        <v>No</v>
      </c>
    </row>
    <row r="726" spans="1:16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  <c r="O726" t="str">
        <f t="shared" si="11"/>
        <v>October</v>
      </c>
      <c r="P726" t="str">
        <f t="array" ref="P726">IF(COUNTIF('Cleaned Dataset'!$C$2:$C$1201,C726)&gt;1,"Yes","No")</f>
        <v>No</v>
      </c>
    </row>
    <row r="727" spans="1:16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4320</v>
      </c>
      <c r="M727" s="2" t="s">
        <v>4279</v>
      </c>
      <c r="N727" s="2">
        <v>389.7</v>
      </c>
      <c r="O727" t="str">
        <f t="shared" si="11"/>
        <v>March</v>
      </c>
      <c r="P727" t="str">
        <f t="array" ref="P727">IF(COUNTIF('Cleaned Dataset'!$C$2:$C$1201,C727)&gt;1,"Yes","No")</f>
        <v>No</v>
      </c>
    </row>
    <row r="728" spans="1:16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  <c r="O728" t="str">
        <f t="shared" si="11"/>
        <v>October</v>
      </c>
      <c r="P728" t="str">
        <f t="array" ref="P728">IF(COUNTIF('Cleaned Dataset'!$C$2:$C$1201,C728)&gt;1,"Yes","No")</f>
        <v>No</v>
      </c>
    </row>
    <row r="729" spans="1:16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  <c r="O729" t="str">
        <f t="shared" si="11"/>
        <v>September</v>
      </c>
      <c r="P729" t="str">
        <f t="array" ref="P729">IF(COUNTIF('Cleaned Dataset'!$C$2:$C$1201,C729)&gt;1,"Yes","No")</f>
        <v>No</v>
      </c>
    </row>
    <row r="730" spans="1:16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  <c r="O730" t="str">
        <f t="shared" si="11"/>
        <v>July</v>
      </c>
      <c r="P730" t="str">
        <f t="array" ref="P730">IF(COUNTIF('Cleaned Dataset'!$C$2:$C$1201,C730)&gt;1,"Yes","No")</f>
        <v>No</v>
      </c>
    </row>
    <row r="731" spans="1:16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  <c r="O731" t="str">
        <f t="shared" si="11"/>
        <v>September</v>
      </c>
      <c r="P731" t="str">
        <f t="array" ref="P731">IF(COUNTIF('Cleaned Dataset'!$C$2:$C$1201,C731)&gt;1,"Yes","No")</f>
        <v>No</v>
      </c>
    </row>
    <row r="732" spans="1:16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  <c r="O732" t="str">
        <f t="shared" si="11"/>
        <v>February</v>
      </c>
      <c r="P732" t="str">
        <f t="array" ref="P732">IF(COUNTIF('Cleaned Dataset'!$C$2:$C$1201,C732)&gt;1,"Yes","No")</f>
        <v>No</v>
      </c>
    </row>
    <row r="733" spans="1:16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4320</v>
      </c>
      <c r="M733" s="2" t="s">
        <v>4280</v>
      </c>
      <c r="N733" s="2">
        <v>2922.3</v>
      </c>
      <c r="O733" t="str">
        <f t="shared" si="11"/>
        <v>June</v>
      </c>
      <c r="P733" t="str">
        <f t="array" ref="P733">IF(COUNTIF('Cleaned Dataset'!$C$2:$C$1201,C733)&gt;1,"Yes","No")</f>
        <v>No</v>
      </c>
    </row>
    <row r="734" spans="1:16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4320</v>
      </c>
      <c r="M734" s="2" t="s">
        <v>4282</v>
      </c>
      <c r="N734" s="2">
        <v>132.05000000000001</v>
      </c>
      <c r="O734" t="str">
        <f t="shared" si="11"/>
        <v>March</v>
      </c>
      <c r="P734" t="str">
        <f t="array" ref="P734">IF(COUNTIF('Cleaned Dataset'!$C$2:$C$1201,C734)&gt;1,"Yes","No")</f>
        <v>No</v>
      </c>
    </row>
    <row r="735" spans="1:16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  <c r="O735" t="str">
        <f t="shared" si="11"/>
        <v>December</v>
      </c>
      <c r="P735" t="str">
        <f t="array" ref="P735">IF(COUNTIF('Cleaned Dataset'!$C$2:$C$1201,C735)&gt;1,"Yes","No")</f>
        <v>No</v>
      </c>
    </row>
    <row r="736" spans="1:16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  <c r="O736" t="str">
        <f t="shared" si="11"/>
        <v>January</v>
      </c>
      <c r="P736" t="str">
        <f t="array" ref="P736">IF(COUNTIF('Cleaned Dataset'!$C$2:$C$1201,C736)&gt;1,"Yes","No")</f>
        <v>No</v>
      </c>
    </row>
    <row r="737" spans="1:16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4320</v>
      </c>
      <c r="M737" s="2" t="s">
        <v>4280</v>
      </c>
      <c r="N737" s="2">
        <v>176.28</v>
      </c>
      <c r="O737" t="str">
        <f t="shared" si="11"/>
        <v>June</v>
      </c>
      <c r="P737" t="str">
        <f t="array" ref="P737">IF(COUNTIF('Cleaned Dataset'!$C$2:$C$1201,C737)&gt;1,"Yes","No")</f>
        <v>No</v>
      </c>
    </row>
    <row r="738" spans="1:16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  <c r="O738" t="str">
        <f t="shared" si="11"/>
        <v>February</v>
      </c>
      <c r="P738" t="str">
        <f t="array" ref="P738">IF(COUNTIF('Cleaned Dataset'!$C$2:$C$1201,C738)&gt;1,"Yes","No")</f>
        <v>No</v>
      </c>
    </row>
    <row r="739" spans="1:16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  <c r="O739" t="str">
        <f t="shared" si="11"/>
        <v>January</v>
      </c>
      <c r="P739" t="str">
        <f t="array" ref="P739">IF(COUNTIF('Cleaned Dataset'!$C$2:$C$1201,C739)&gt;1,"Yes","No")</f>
        <v>No</v>
      </c>
    </row>
    <row r="740" spans="1:16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  <c r="O740" t="str">
        <f t="shared" si="11"/>
        <v>June</v>
      </c>
      <c r="P740" t="str">
        <f t="array" ref="P740">IF(COUNTIF('Cleaned Dataset'!$C$2:$C$1201,C740)&gt;1,"Yes","No")</f>
        <v>No</v>
      </c>
    </row>
    <row r="741" spans="1:16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  <c r="O741" t="str">
        <f t="shared" si="11"/>
        <v>June</v>
      </c>
      <c r="P741" t="str">
        <f t="array" ref="P741">IF(COUNTIF('Cleaned Dataset'!$C$2:$C$1201,C741)&gt;1,"Yes","No")</f>
        <v>No</v>
      </c>
    </row>
    <row r="742" spans="1:16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4320</v>
      </c>
      <c r="M742" s="2" t="s">
        <v>4282</v>
      </c>
      <c r="N742" s="2">
        <v>754.94</v>
      </c>
      <c r="O742" t="str">
        <f t="shared" si="11"/>
        <v>July</v>
      </c>
      <c r="P742" t="str">
        <f t="array" ref="P742">IF(COUNTIF('Cleaned Dataset'!$C$2:$C$1201,C742)&gt;1,"Yes","No")</f>
        <v>No</v>
      </c>
    </row>
    <row r="743" spans="1:16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4320</v>
      </c>
      <c r="M743" s="2" t="s">
        <v>4279</v>
      </c>
      <c r="N743" s="2">
        <v>1663.2</v>
      </c>
      <c r="O743" t="str">
        <f t="shared" si="11"/>
        <v>January</v>
      </c>
      <c r="P743" t="str">
        <f t="array" ref="P743">IF(COUNTIF('Cleaned Dataset'!$C$2:$C$1201,C743)&gt;1,"Yes","No")</f>
        <v>No</v>
      </c>
    </row>
    <row r="744" spans="1:16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  <c r="O744" t="str">
        <f t="shared" si="11"/>
        <v>November</v>
      </c>
      <c r="P744" t="str">
        <f t="array" ref="P744">IF(COUNTIF('Cleaned Dataset'!$C$2:$C$1201,C744)&gt;1,"Yes","No")</f>
        <v>No</v>
      </c>
    </row>
    <row r="745" spans="1:16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  <c r="O745" t="str">
        <f t="shared" si="11"/>
        <v>September</v>
      </c>
      <c r="P745" t="str">
        <f t="array" ref="P745">IF(COUNTIF('Cleaned Dataset'!$C$2:$C$1201,C745)&gt;1,"Yes","No")</f>
        <v>No</v>
      </c>
    </row>
    <row r="746" spans="1:16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  <c r="O746" t="str">
        <f t="shared" si="11"/>
        <v>June</v>
      </c>
      <c r="P746" t="str">
        <f t="array" ref="P746">IF(COUNTIF('Cleaned Dataset'!$C$2:$C$1201,C746)&gt;1,"Yes","No")</f>
        <v>No</v>
      </c>
    </row>
    <row r="747" spans="1:16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  <c r="O747" t="str">
        <f t="shared" si="11"/>
        <v>March</v>
      </c>
      <c r="P747" t="str">
        <f t="array" ref="P747">IF(COUNTIF('Cleaned Dataset'!$C$2:$C$1201,C747)&gt;1,"Yes","No")</f>
        <v>No</v>
      </c>
    </row>
    <row r="748" spans="1:16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  <c r="O748" t="str">
        <f t="shared" si="11"/>
        <v>February</v>
      </c>
      <c r="P748" t="str">
        <f t="array" ref="P748">IF(COUNTIF('Cleaned Dataset'!$C$2:$C$1201,C748)&gt;1,"Yes","No")</f>
        <v>No</v>
      </c>
    </row>
    <row r="749" spans="1:16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  <c r="O749" t="str">
        <f t="shared" si="11"/>
        <v>March</v>
      </c>
      <c r="P749" t="str">
        <f t="array" ref="P749">IF(COUNTIF('Cleaned Dataset'!$C$2:$C$1201,C749)&gt;1,"Yes","No")</f>
        <v>No</v>
      </c>
    </row>
    <row r="750" spans="1:16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  <c r="O750" t="str">
        <f t="shared" si="11"/>
        <v>July</v>
      </c>
      <c r="P750" t="str">
        <f t="array" ref="P750">IF(COUNTIF('Cleaned Dataset'!$C$2:$C$1201,C750)&gt;1,"Yes","No")</f>
        <v>No</v>
      </c>
    </row>
    <row r="751" spans="1:16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  <c r="O751" t="str">
        <f t="shared" si="11"/>
        <v>April</v>
      </c>
      <c r="P751" t="str">
        <f t="array" ref="P751">IF(COUNTIF('Cleaned Dataset'!$C$2:$C$1201,C751)&gt;1,"Yes","No")</f>
        <v>No</v>
      </c>
    </row>
    <row r="752" spans="1:16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  <c r="O752" t="str">
        <f t="shared" si="11"/>
        <v>January</v>
      </c>
      <c r="P752" t="str">
        <f t="array" ref="P752">IF(COUNTIF('Cleaned Dataset'!$C$2:$C$1201,C752)&gt;1,"Yes","No")</f>
        <v>No</v>
      </c>
    </row>
    <row r="753" spans="1:16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  <c r="O753" t="str">
        <f t="shared" si="11"/>
        <v>January</v>
      </c>
      <c r="P753" t="str">
        <f t="array" ref="P753">IF(COUNTIF('Cleaned Dataset'!$C$2:$C$1201,C753)&gt;1,"Yes","No")</f>
        <v>No</v>
      </c>
    </row>
    <row r="754" spans="1:16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  <c r="O754" t="str">
        <f t="shared" si="11"/>
        <v>October</v>
      </c>
      <c r="P754" t="str">
        <f t="array" ref="P754">IF(COUNTIF('Cleaned Dataset'!$C$2:$C$1201,C754)&gt;1,"Yes","No")</f>
        <v>No</v>
      </c>
    </row>
    <row r="755" spans="1:16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  <c r="O755" t="str">
        <f t="shared" si="11"/>
        <v>April</v>
      </c>
      <c r="P755" t="str">
        <f t="array" ref="P755">IF(COUNTIF('Cleaned Dataset'!$C$2:$C$1201,C755)&gt;1,"Yes","No")</f>
        <v>No</v>
      </c>
    </row>
    <row r="756" spans="1:16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  <c r="O756" t="str">
        <f t="shared" si="11"/>
        <v>May</v>
      </c>
      <c r="P756" t="str">
        <f t="array" ref="P756">IF(COUNTIF('Cleaned Dataset'!$C$2:$C$1201,C756)&gt;1,"Yes","No")</f>
        <v>No</v>
      </c>
    </row>
    <row r="757" spans="1:16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4320</v>
      </c>
      <c r="M757" s="2" t="s">
        <v>4280</v>
      </c>
      <c r="N757" s="2">
        <v>1010.13</v>
      </c>
      <c r="O757" t="str">
        <f t="shared" si="11"/>
        <v>June</v>
      </c>
      <c r="P757" t="str">
        <f t="array" ref="P757">IF(COUNTIF('Cleaned Dataset'!$C$2:$C$1201,C757)&gt;1,"Yes","No")</f>
        <v>No</v>
      </c>
    </row>
    <row r="758" spans="1:16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4320</v>
      </c>
      <c r="M758" s="2" t="s">
        <v>4282</v>
      </c>
      <c r="N758" s="2">
        <v>283.69</v>
      </c>
      <c r="O758" t="str">
        <f t="shared" si="11"/>
        <v>June</v>
      </c>
      <c r="P758" t="str">
        <f t="array" ref="P758">IF(COUNTIF('Cleaned Dataset'!$C$2:$C$1201,C758)&gt;1,"Yes","No")</f>
        <v>No</v>
      </c>
    </row>
    <row r="759" spans="1:16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  <c r="O759" t="str">
        <f t="shared" si="11"/>
        <v>February</v>
      </c>
      <c r="P759" t="str">
        <f t="array" ref="P759">IF(COUNTIF('Cleaned Dataset'!$C$2:$C$1201,C759)&gt;1,"Yes","No")</f>
        <v>No</v>
      </c>
    </row>
    <row r="760" spans="1:16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  <c r="O760" t="str">
        <f t="shared" si="11"/>
        <v>March</v>
      </c>
      <c r="P760" t="str">
        <f t="array" ref="P760">IF(COUNTIF('Cleaned Dataset'!$C$2:$C$1201,C760)&gt;1,"Yes","No")</f>
        <v>No</v>
      </c>
    </row>
    <row r="761" spans="1:16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  <c r="O761" t="str">
        <f t="shared" si="11"/>
        <v>July</v>
      </c>
      <c r="P761" t="str">
        <f t="array" ref="P761">IF(COUNTIF('Cleaned Dataset'!$C$2:$C$1201,C761)&gt;1,"Yes","No")</f>
        <v>No</v>
      </c>
    </row>
    <row r="762" spans="1:16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4320</v>
      </c>
      <c r="M762" s="2" t="s">
        <v>4282</v>
      </c>
      <c r="N762" s="2">
        <v>39.56</v>
      </c>
      <c r="O762" t="str">
        <f t="shared" si="11"/>
        <v>February</v>
      </c>
      <c r="P762" t="str">
        <f t="array" ref="P762">IF(COUNTIF('Cleaned Dataset'!$C$2:$C$1201,C762)&gt;1,"Yes","No")</f>
        <v>No</v>
      </c>
    </row>
    <row r="763" spans="1:16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4320</v>
      </c>
      <c r="M763" s="2" t="s">
        <v>4282</v>
      </c>
      <c r="N763" s="2">
        <v>151.04</v>
      </c>
      <c r="O763" t="str">
        <f t="shared" si="11"/>
        <v>June</v>
      </c>
      <c r="P763" t="str">
        <f t="array" ref="P763">IF(COUNTIF('Cleaned Dataset'!$C$2:$C$1201,C763)&gt;1,"Yes","No")</f>
        <v>No</v>
      </c>
    </row>
    <row r="764" spans="1:16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  <c r="O764" t="str">
        <f t="shared" si="11"/>
        <v>September</v>
      </c>
      <c r="P764" t="str">
        <f t="array" ref="P764">IF(COUNTIF('Cleaned Dataset'!$C$2:$C$1201,C764)&gt;1,"Yes","No")</f>
        <v>No</v>
      </c>
    </row>
    <row r="765" spans="1:16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  <c r="O765" t="str">
        <f t="shared" si="11"/>
        <v>April</v>
      </c>
      <c r="P765" t="str">
        <f t="array" ref="P765">IF(COUNTIF('Cleaned Dataset'!$C$2:$C$1201,C765)&gt;1,"Yes","No")</f>
        <v>No</v>
      </c>
    </row>
    <row r="766" spans="1:16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  <c r="O766" t="str">
        <f t="shared" si="11"/>
        <v>March</v>
      </c>
      <c r="P766" t="str">
        <f t="array" ref="P766">IF(COUNTIF('Cleaned Dataset'!$C$2:$C$1201,C766)&gt;1,"Yes","No")</f>
        <v>No</v>
      </c>
    </row>
    <row r="767" spans="1:16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  <c r="O767" t="str">
        <f t="shared" si="11"/>
        <v>October</v>
      </c>
      <c r="P767" t="str">
        <f t="array" ref="P767">IF(COUNTIF('Cleaned Dataset'!$C$2:$C$1201,C767)&gt;1,"Yes","No")</f>
        <v>No</v>
      </c>
    </row>
    <row r="768" spans="1:16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  <c r="O768" t="str">
        <f t="shared" si="11"/>
        <v>January</v>
      </c>
      <c r="P768" t="str">
        <f t="array" ref="P768">IF(COUNTIF('Cleaned Dataset'!$C$2:$C$1201,C768)&gt;1,"Yes","No")</f>
        <v>No</v>
      </c>
    </row>
    <row r="769" spans="1:16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4320</v>
      </c>
      <c r="M769" s="2" t="s">
        <v>4278</v>
      </c>
      <c r="N769" s="2">
        <v>646.44000000000005</v>
      </c>
      <c r="O769" t="str">
        <f t="shared" si="11"/>
        <v>April</v>
      </c>
      <c r="P769" t="str">
        <f t="array" ref="P769">IF(COUNTIF('Cleaned Dataset'!$C$2:$C$1201,C769)&gt;1,"Yes","No")</f>
        <v>No</v>
      </c>
    </row>
    <row r="770" spans="1:16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  <c r="O770" t="str">
        <f t="shared" si="11"/>
        <v>September</v>
      </c>
      <c r="P770" t="str">
        <f t="array" ref="P770">IF(COUNTIF('Cleaned Dataset'!$C$2:$C$1201,C770)&gt;1,"Yes","No")</f>
        <v>No</v>
      </c>
    </row>
    <row r="771" spans="1:16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4320</v>
      </c>
      <c r="M771" s="2" t="s">
        <v>4280</v>
      </c>
      <c r="N771" s="2">
        <v>2714.2</v>
      </c>
      <c r="O771" t="str">
        <f t="shared" ref="O771:O834" si="12">TEXT(B771,"mmmm")</f>
        <v>July</v>
      </c>
      <c r="P771" t="str">
        <f t="array" ref="P771">IF(COUNTIF('Cleaned Dataset'!$C$2:$C$1201,C771)&gt;1,"Yes","No")</f>
        <v>No</v>
      </c>
    </row>
    <row r="772" spans="1:16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4320</v>
      </c>
      <c r="M772" s="2" t="s">
        <v>4282</v>
      </c>
      <c r="N772" s="2">
        <v>314.38</v>
      </c>
      <c r="O772" t="str">
        <f t="shared" si="12"/>
        <v>February</v>
      </c>
      <c r="P772" t="str">
        <f t="array" ref="P772">IF(COUNTIF('Cleaned Dataset'!$C$2:$C$1201,C772)&gt;1,"Yes","No")</f>
        <v>No</v>
      </c>
    </row>
    <row r="773" spans="1:16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  <c r="O773" t="str">
        <f t="shared" si="12"/>
        <v>June</v>
      </c>
      <c r="P773" t="str">
        <f t="array" ref="P773">IF(COUNTIF('Cleaned Dataset'!$C$2:$C$1201,C773)&gt;1,"Yes","No")</f>
        <v>No</v>
      </c>
    </row>
    <row r="774" spans="1:16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4320</v>
      </c>
      <c r="M774" s="2" t="s">
        <v>4278</v>
      </c>
      <c r="N774" s="2">
        <v>604.87</v>
      </c>
      <c r="O774" t="str">
        <f t="shared" si="12"/>
        <v>July</v>
      </c>
      <c r="P774" t="str">
        <f t="array" ref="P774">IF(COUNTIF('Cleaned Dataset'!$C$2:$C$1201,C774)&gt;1,"Yes","No")</f>
        <v>No</v>
      </c>
    </row>
    <row r="775" spans="1:16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4320</v>
      </c>
      <c r="M775" s="2" t="s">
        <v>4281</v>
      </c>
      <c r="N775" s="2">
        <v>1024.6600000000001</v>
      </c>
      <c r="O775" t="str">
        <f t="shared" si="12"/>
        <v>June</v>
      </c>
      <c r="P775" t="str">
        <f t="array" ref="P775">IF(COUNTIF('Cleaned Dataset'!$C$2:$C$1201,C775)&gt;1,"Yes","No")</f>
        <v>No</v>
      </c>
    </row>
    <row r="776" spans="1:16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  <c r="O776" t="str">
        <f t="shared" si="12"/>
        <v>April</v>
      </c>
      <c r="P776" t="str">
        <f t="array" ref="P776">IF(COUNTIF('Cleaned Dataset'!$C$2:$C$1201,C776)&gt;1,"Yes","No")</f>
        <v>No</v>
      </c>
    </row>
    <row r="777" spans="1:16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4320</v>
      </c>
      <c r="M777" s="2" t="s">
        <v>4282</v>
      </c>
      <c r="N777" s="2">
        <v>1250.44</v>
      </c>
      <c r="O777" t="str">
        <f t="shared" si="12"/>
        <v>March</v>
      </c>
      <c r="P777" t="str">
        <f t="array" ref="P777">IF(COUNTIF('Cleaned Dataset'!$C$2:$C$1201,C777)&gt;1,"Yes","No")</f>
        <v>No</v>
      </c>
    </row>
    <row r="778" spans="1:16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  <c r="O778" t="str">
        <f t="shared" si="12"/>
        <v>August</v>
      </c>
      <c r="P778" t="str">
        <f t="array" ref="P778">IF(COUNTIF('Cleaned Dataset'!$C$2:$C$1201,C778)&gt;1,"Yes","No")</f>
        <v>No</v>
      </c>
    </row>
    <row r="779" spans="1:16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4320</v>
      </c>
      <c r="M779" s="2" t="s">
        <v>4281</v>
      </c>
      <c r="N779" s="2">
        <v>322.45</v>
      </c>
      <c r="O779" t="str">
        <f t="shared" si="12"/>
        <v>March</v>
      </c>
      <c r="P779" t="str">
        <f t="array" ref="P779">IF(COUNTIF('Cleaned Dataset'!$C$2:$C$1201,C779)&gt;1,"Yes","No")</f>
        <v>No</v>
      </c>
    </row>
    <row r="780" spans="1:16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  <c r="O780" t="str">
        <f t="shared" si="12"/>
        <v>April</v>
      </c>
      <c r="P780" t="str">
        <f t="array" ref="P780">IF(COUNTIF('Cleaned Dataset'!$C$2:$C$1201,C780)&gt;1,"Yes","No")</f>
        <v>No</v>
      </c>
    </row>
    <row r="781" spans="1:16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  <c r="O781" t="str">
        <f t="shared" si="12"/>
        <v>December</v>
      </c>
      <c r="P781" t="str">
        <f t="array" ref="P781">IF(COUNTIF('Cleaned Dataset'!$C$2:$C$1201,C781)&gt;1,"Yes","No")</f>
        <v>No</v>
      </c>
    </row>
    <row r="782" spans="1:16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  <c r="O782" t="str">
        <f t="shared" si="12"/>
        <v>March</v>
      </c>
      <c r="P782" t="str">
        <f t="array" ref="P782">IF(COUNTIF('Cleaned Dataset'!$C$2:$C$1201,C782)&gt;1,"Yes","No")</f>
        <v>No</v>
      </c>
    </row>
    <row r="783" spans="1:16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  <c r="O783" t="str">
        <f t="shared" si="12"/>
        <v>January</v>
      </c>
      <c r="P783" t="str">
        <f t="array" ref="P783">IF(COUNTIF('Cleaned Dataset'!$C$2:$C$1201,C783)&gt;1,"Yes","No")</f>
        <v>No</v>
      </c>
    </row>
    <row r="784" spans="1:16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  <c r="O784" t="str">
        <f t="shared" si="12"/>
        <v>August</v>
      </c>
      <c r="P784" t="str">
        <f t="array" ref="P784">IF(COUNTIF('Cleaned Dataset'!$C$2:$C$1201,C784)&gt;1,"Yes","No")</f>
        <v>No</v>
      </c>
    </row>
    <row r="785" spans="1:16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  <c r="O785" t="str">
        <f t="shared" si="12"/>
        <v>May</v>
      </c>
      <c r="P785" t="str">
        <f t="array" ref="P785">IF(COUNTIF('Cleaned Dataset'!$C$2:$C$1201,C785)&gt;1,"Yes","No")</f>
        <v>No</v>
      </c>
    </row>
    <row r="786" spans="1:16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  <c r="O786" t="str">
        <f t="shared" si="12"/>
        <v>May</v>
      </c>
      <c r="P786" t="str">
        <f t="array" ref="P786">IF(COUNTIF('Cleaned Dataset'!$C$2:$C$1201,C786)&gt;1,"Yes","No")</f>
        <v>Yes</v>
      </c>
    </row>
    <row r="787" spans="1:16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  <c r="O787" t="str">
        <f t="shared" si="12"/>
        <v>July</v>
      </c>
      <c r="P787" t="str">
        <f t="array" ref="P787">IF(COUNTIF('Cleaned Dataset'!$C$2:$C$1201,C787)&gt;1,"Yes","No")</f>
        <v>No</v>
      </c>
    </row>
    <row r="788" spans="1:16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4320</v>
      </c>
      <c r="M788" s="2" t="s">
        <v>4279</v>
      </c>
      <c r="N788" s="2">
        <v>226.55</v>
      </c>
      <c r="O788" t="str">
        <f t="shared" si="12"/>
        <v>August</v>
      </c>
      <c r="P788" t="str">
        <f t="array" ref="P788">IF(COUNTIF('Cleaned Dataset'!$C$2:$C$1201,C788)&gt;1,"Yes","No")</f>
        <v>No</v>
      </c>
    </row>
    <row r="789" spans="1:16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4320</v>
      </c>
      <c r="M789" s="2" t="s">
        <v>4282</v>
      </c>
      <c r="N789" s="2">
        <v>887.84</v>
      </c>
      <c r="O789" t="str">
        <f t="shared" si="12"/>
        <v>March</v>
      </c>
      <c r="P789" t="str">
        <f t="array" ref="P789">IF(COUNTIF('Cleaned Dataset'!$C$2:$C$1201,C789)&gt;1,"Yes","No")</f>
        <v>No</v>
      </c>
    </row>
    <row r="790" spans="1:16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  <c r="O790" t="str">
        <f t="shared" si="12"/>
        <v>November</v>
      </c>
      <c r="P790" t="str">
        <f t="array" ref="P790">IF(COUNTIF('Cleaned Dataset'!$C$2:$C$1201,C790)&gt;1,"Yes","No")</f>
        <v>No</v>
      </c>
    </row>
    <row r="791" spans="1:16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  <c r="O791" t="str">
        <f t="shared" si="12"/>
        <v>August</v>
      </c>
      <c r="P791" t="str">
        <f t="array" ref="P791">IF(COUNTIF('Cleaned Dataset'!$C$2:$C$1201,C791)&gt;1,"Yes","No")</f>
        <v>No</v>
      </c>
    </row>
    <row r="792" spans="1:16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4320</v>
      </c>
      <c r="M792" s="2" t="s">
        <v>4282</v>
      </c>
      <c r="N792" s="2">
        <v>1671.56</v>
      </c>
      <c r="O792" t="str">
        <f t="shared" si="12"/>
        <v>September</v>
      </c>
      <c r="P792" t="str">
        <f t="array" ref="P792">IF(COUNTIF('Cleaned Dataset'!$C$2:$C$1201,C792)&gt;1,"Yes","No")</f>
        <v>No</v>
      </c>
    </row>
    <row r="793" spans="1:16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4320</v>
      </c>
      <c r="M793" s="2" t="s">
        <v>4280</v>
      </c>
      <c r="N793" s="2">
        <v>1637.12</v>
      </c>
      <c r="O793" t="str">
        <f t="shared" si="12"/>
        <v>January</v>
      </c>
      <c r="P793" t="str">
        <f t="array" ref="P793">IF(COUNTIF('Cleaned Dataset'!$C$2:$C$1201,C793)&gt;1,"Yes","No")</f>
        <v>No</v>
      </c>
    </row>
    <row r="794" spans="1:16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  <c r="O794" t="str">
        <f t="shared" si="12"/>
        <v>June</v>
      </c>
      <c r="P794" t="str">
        <f t="array" ref="P794">IF(COUNTIF('Cleaned Dataset'!$C$2:$C$1201,C794)&gt;1,"Yes","No")</f>
        <v>No</v>
      </c>
    </row>
    <row r="795" spans="1:16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4320</v>
      </c>
      <c r="M795" s="2" t="s">
        <v>4279</v>
      </c>
      <c r="N795" s="2">
        <v>851.1</v>
      </c>
      <c r="O795" t="str">
        <f t="shared" si="12"/>
        <v>April</v>
      </c>
      <c r="P795" t="str">
        <f t="array" ref="P795">IF(COUNTIF('Cleaned Dataset'!$C$2:$C$1201,C795)&gt;1,"Yes","No")</f>
        <v>No</v>
      </c>
    </row>
    <row r="796" spans="1:16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  <c r="O796" t="str">
        <f t="shared" si="12"/>
        <v>March</v>
      </c>
      <c r="P796" t="str">
        <f t="array" ref="P796">IF(COUNTIF('Cleaned Dataset'!$C$2:$C$1201,C796)&gt;1,"Yes","No")</f>
        <v>No</v>
      </c>
    </row>
    <row r="797" spans="1:16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  <c r="O797" t="str">
        <f t="shared" si="12"/>
        <v>November</v>
      </c>
      <c r="P797" t="str">
        <f t="array" ref="P797">IF(COUNTIF('Cleaned Dataset'!$C$2:$C$1201,C797)&gt;1,"Yes","No")</f>
        <v>No</v>
      </c>
    </row>
    <row r="798" spans="1:16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  <c r="O798" t="str">
        <f t="shared" si="12"/>
        <v>April</v>
      </c>
      <c r="P798" t="str">
        <f t="array" ref="P798">IF(COUNTIF('Cleaned Dataset'!$C$2:$C$1201,C798)&gt;1,"Yes","No")</f>
        <v>No</v>
      </c>
    </row>
    <row r="799" spans="1:16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4320</v>
      </c>
      <c r="M799" s="2" t="s">
        <v>4281</v>
      </c>
      <c r="N799" s="2">
        <v>877.52</v>
      </c>
      <c r="O799" t="str">
        <f t="shared" si="12"/>
        <v>February</v>
      </c>
      <c r="P799" t="str">
        <f t="array" ref="P799">IF(COUNTIF('Cleaned Dataset'!$C$2:$C$1201,C799)&gt;1,"Yes","No")</f>
        <v>No</v>
      </c>
    </row>
    <row r="800" spans="1:16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  <c r="O800" t="str">
        <f t="shared" si="12"/>
        <v>May</v>
      </c>
      <c r="P800" t="str">
        <f t="array" ref="P800">IF(COUNTIF('Cleaned Dataset'!$C$2:$C$1201,C800)&gt;1,"Yes","No")</f>
        <v>No</v>
      </c>
    </row>
    <row r="801" spans="1:16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  <c r="O801" t="str">
        <f t="shared" si="12"/>
        <v>April</v>
      </c>
      <c r="P801" t="str">
        <f t="array" ref="P801">IF(COUNTIF('Cleaned Dataset'!$C$2:$C$1201,C801)&gt;1,"Yes","No")</f>
        <v>No</v>
      </c>
    </row>
    <row r="802" spans="1:16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  <c r="O802" t="str">
        <f t="shared" si="12"/>
        <v>March</v>
      </c>
      <c r="P802" t="str">
        <f t="array" ref="P802">IF(COUNTIF('Cleaned Dataset'!$C$2:$C$1201,C802)&gt;1,"Yes","No")</f>
        <v>No</v>
      </c>
    </row>
    <row r="803" spans="1:16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  <c r="O803" t="str">
        <f t="shared" si="12"/>
        <v>May</v>
      </c>
      <c r="P803" t="str">
        <f t="array" ref="P803">IF(COUNTIF('Cleaned Dataset'!$C$2:$C$1201,C803)&gt;1,"Yes","No")</f>
        <v>Yes</v>
      </c>
    </row>
    <row r="804" spans="1:16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  <c r="O804" t="str">
        <f t="shared" si="12"/>
        <v>February</v>
      </c>
      <c r="P804" t="str">
        <f t="array" ref="P804">IF(COUNTIF('Cleaned Dataset'!$C$2:$C$1201,C804)&gt;1,"Yes","No")</f>
        <v>No</v>
      </c>
    </row>
    <row r="805" spans="1:16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  <c r="O805" t="str">
        <f t="shared" si="12"/>
        <v>August</v>
      </c>
      <c r="P805" t="str">
        <f t="array" ref="P805">IF(COUNTIF('Cleaned Dataset'!$C$2:$C$1201,C805)&gt;1,"Yes","No")</f>
        <v>No</v>
      </c>
    </row>
    <row r="806" spans="1:16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  <c r="O806" t="str">
        <f t="shared" si="12"/>
        <v>January</v>
      </c>
      <c r="P806" t="str">
        <f t="array" ref="P806">IF(COUNTIF('Cleaned Dataset'!$C$2:$C$1201,C806)&gt;1,"Yes","No")</f>
        <v>No</v>
      </c>
    </row>
    <row r="807" spans="1:16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  <c r="O807" t="str">
        <f t="shared" si="12"/>
        <v>October</v>
      </c>
      <c r="P807" t="str">
        <f t="array" ref="P807">IF(COUNTIF('Cleaned Dataset'!$C$2:$C$1201,C807)&gt;1,"Yes","No")</f>
        <v>No</v>
      </c>
    </row>
    <row r="808" spans="1:16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  <c r="O808" t="str">
        <f t="shared" si="12"/>
        <v>September</v>
      </c>
      <c r="P808" t="str">
        <f t="array" ref="P808">IF(COUNTIF('Cleaned Dataset'!$C$2:$C$1201,C808)&gt;1,"Yes","No")</f>
        <v>No</v>
      </c>
    </row>
    <row r="809" spans="1:16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  <c r="O809" t="str">
        <f t="shared" si="12"/>
        <v>November</v>
      </c>
      <c r="P809" t="str">
        <f t="array" ref="P809">IF(COUNTIF('Cleaned Dataset'!$C$2:$C$1201,C809)&gt;1,"Yes","No")</f>
        <v>No</v>
      </c>
    </row>
    <row r="810" spans="1:16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4320</v>
      </c>
      <c r="M810" s="2" t="s">
        <v>4282</v>
      </c>
      <c r="N810" s="2">
        <v>402.15</v>
      </c>
      <c r="O810" t="str">
        <f t="shared" si="12"/>
        <v>February</v>
      </c>
      <c r="P810" t="str">
        <f t="array" ref="P810">IF(COUNTIF('Cleaned Dataset'!$C$2:$C$1201,C810)&gt;1,"Yes","No")</f>
        <v>No</v>
      </c>
    </row>
    <row r="811" spans="1:16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  <c r="O811" t="str">
        <f t="shared" si="12"/>
        <v>April</v>
      </c>
      <c r="P811" t="str">
        <f t="array" ref="P811">IF(COUNTIF('Cleaned Dataset'!$C$2:$C$1201,C811)&gt;1,"Yes","No")</f>
        <v>No</v>
      </c>
    </row>
    <row r="812" spans="1:16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4320</v>
      </c>
      <c r="M812" s="2" t="s">
        <v>4279</v>
      </c>
      <c r="N812" s="2">
        <v>553.55999999999995</v>
      </c>
      <c r="O812" t="str">
        <f t="shared" si="12"/>
        <v>May</v>
      </c>
      <c r="P812" t="str">
        <f t="array" ref="P812">IF(COUNTIF('Cleaned Dataset'!$C$2:$C$1201,C812)&gt;1,"Yes","No")</f>
        <v>No</v>
      </c>
    </row>
    <row r="813" spans="1:16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  <c r="O813" t="str">
        <f t="shared" si="12"/>
        <v>November</v>
      </c>
      <c r="P813" t="str">
        <f t="array" ref="P813">IF(COUNTIF('Cleaned Dataset'!$C$2:$C$1201,C813)&gt;1,"Yes","No")</f>
        <v>No</v>
      </c>
    </row>
    <row r="814" spans="1:16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  <c r="O814" t="str">
        <f t="shared" si="12"/>
        <v>January</v>
      </c>
      <c r="P814" t="str">
        <f t="array" ref="P814">IF(COUNTIF('Cleaned Dataset'!$C$2:$C$1201,C814)&gt;1,"Yes","No")</f>
        <v>No</v>
      </c>
    </row>
    <row r="815" spans="1:16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  <c r="O815" t="str">
        <f t="shared" si="12"/>
        <v>March</v>
      </c>
      <c r="P815" t="str">
        <f t="array" ref="P815">IF(COUNTIF('Cleaned Dataset'!$C$2:$C$1201,C815)&gt;1,"Yes","No")</f>
        <v>No</v>
      </c>
    </row>
    <row r="816" spans="1:16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  <c r="O816" t="str">
        <f t="shared" si="12"/>
        <v>December</v>
      </c>
      <c r="P816" t="str">
        <f t="array" ref="P816">IF(COUNTIF('Cleaned Dataset'!$C$2:$C$1201,C816)&gt;1,"Yes","No")</f>
        <v>No</v>
      </c>
    </row>
    <row r="817" spans="1:16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  <c r="O817" t="str">
        <f t="shared" si="12"/>
        <v>August</v>
      </c>
      <c r="P817" t="str">
        <f t="array" ref="P817">IF(COUNTIF('Cleaned Dataset'!$C$2:$C$1201,C817)&gt;1,"Yes","No")</f>
        <v>No</v>
      </c>
    </row>
    <row r="818" spans="1:16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  <c r="O818" t="str">
        <f t="shared" si="12"/>
        <v>February</v>
      </c>
      <c r="P818" t="str">
        <f t="array" ref="P818">IF(COUNTIF('Cleaned Dataset'!$C$2:$C$1201,C818)&gt;1,"Yes","No")</f>
        <v>No</v>
      </c>
    </row>
    <row r="819" spans="1:16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  <c r="O819" t="str">
        <f t="shared" si="12"/>
        <v>October</v>
      </c>
      <c r="P819" t="str">
        <f t="array" ref="P819">IF(COUNTIF('Cleaned Dataset'!$C$2:$C$1201,C819)&gt;1,"Yes","No")</f>
        <v>No</v>
      </c>
    </row>
    <row r="820" spans="1:16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  <c r="O820" t="str">
        <f t="shared" si="12"/>
        <v>March</v>
      </c>
      <c r="P820" t="str">
        <f t="array" ref="P820">IF(COUNTIF('Cleaned Dataset'!$C$2:$C$1201,C820)&gt;1,"Yes","No")</f>
        <v>No</v>
      </c>
    </row>
    <row r="821" spans="1:16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  <c r="O821" t="str">
        <f t="shared" si="12"/>
        <v>September</v>
      </c>
      <c r="P821" t="str">
        <f t="array" ref="P821">IF(COUNTIF('Cleaned Dataset'!$C$2:$C$1201,C821)&gt;1,"Yes","No")</f>
        <v>No</v>
      </c>
    </row>
    <row r="822" spans="1:16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  <c r="O822" t="str">
        <f t="shared" si="12"/>
        <v>May</v>
      </c>
      <c r="P822" t="str">
        <f t="array" ref="P822">IF(COUNTIF('Cleaned Dataset'!$C$2:$C$1201,C822)&gt;1,"Yes","No")</f>
        <v>No</v>
      </c>
    </row>
    <row r="823" spans="1:16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  <c r="O823" t="str">
        <f t="shared" si="12"/>
        <v>December</v>
      </c>
      <c r="P823" t="str">
        <f t="array" ref="P823">IF(COUNTIF('Cleaned Dataset'!$C$2:$C$1201,C823)&gt;1,"Yes","No")</f>
        <v>No</v>
      </c>
    </row>
    <row r="824" spans="1:16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  <c r="O824" t="str">
        <f t="shared" si="12"/>
        <v>March</v>
      </c>
      <c r="P824" t="str">
        <f t="array" ref="P824">IF(COUNTIF('Cleaned Dataset'!$C$2:$C$1201,C824)&gt;1,"Yes","No")</f>
        <v>No</v>
      </c>
    </row>
    <row r="825" spans="1:16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  <c r="O825" t="str">
        <f t="shared" si="12"/>
        <v>October</v>
      </c>
      <c r="P825" t="str">
        <f t="array" ref="P825">IF(COUNTIF('Cleaned Dataset'!$C$2:$C$1201,C825)&gt;1,"Yes","No")</f>
        <v>No</v>
      </c>
    </row>
    <row r="826" spans="1:16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  <c r="O826" t="str">
        <f t="shared" si="12"/>
        <v>August</v>
      </c>
      <c r="P826" t="str">
        <f t="array" ref="P826">IF(COUNTIF('Cleaned Dataset'!$C$2:$C$1201,C826)&gt;1,"Yes","No")</f>
        <v>No</v>
      </c>
    </row>
    <row r="827" spans="1:16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  <c r="O827" t="str">
        <f t="shared" si="12"/>
        <v>March</v>
      </c>
      <c r="P827" t="str">
        <f t="array" ref="P827">IF(COUNTIF('Cleaned Dataset'!$C$2:$C$1201,C827)&gt;1,"Yes","No")</f>
        <v>No</v>
      </c>
    </row>
    <row r="828" spans="1:16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  <c r="O828" t="str">
        <f t="shared" si="12"/>
        <v>March</v>
      </c>
      <c r="P828" t="str">
        <f t="array" ref="P828">IF(COUNTIF('Cleaned Dataset'!$C$2:$C$1201,C828)&gt;1,"Yes","No")</f>
        <v>No</v>
      </c>
    </row>
    <row r="829" spans="1:16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  <c r="O829" t="str">
        <f t="shared" si="12"/>
        <v>May</v>
      </c>
      <c r="P829" t="str">
        <f t="array" ref="P829">IF(COUNTIF('Cleaned Dataset'!$C$2:$C$1201,C829)&gt;1,"Yes","No")</f>
        <v>No</v>
      </c>
    </row>
    <row r="830" spans="1:16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  <c r="O830" t="str">
        <f t="shared" si="12"/>
        <v>July</v>
      </c>
      <c r="P830" t="str">
        <f t="array" ref="P830">IF(COUNTIF('Cleaned Dataset'!$C$2:$C$1201,C830)&gt;1,"Yes","No")</f>
        <v>No</v>
      </c>
    </row>
    <row r="831" spans="1:16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  <c r="O831" t="str">
        <f t="shared" si="12"/>
        <v>February</v>
      </c>
      <c r="P831" t="str">
        <f t="array" ref="P831">IF(COUNTIF('Cleaned Dataset'!$C$2:$C$1201,C831)&gt;1,"Yes","No")</f>
        <v>No</v>
      </c>
    </row>
    <row r="832" spans="1:16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  <c r="O832" t="str">
        <f t="shared" si="12"/>
        <v>December</v>
      </c>
      <c r="P832" t="str">
        <f t="array" ref="P832">IF(COUNTIF('Cleaned Dataset'!$C$2:$C$1201,C832)&gt;1,"Yes","No")</f>
        <v>No</v>
      </c>
    </row>
    <row r="833" spans="1:16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4320</v>
      </c>
      <c r="M833" s="2" t="s">
        <v>4282</v>
      </c>
      <c r="N833" s="2">
        <v>177.46</v>
      </c>
      <c r="O833" t="str">
        <f t="shared" si="12"/>
        <v>December</v>
      </c>
      <c r="P833" t="str">
        <f t="array" ref="P833">IF(COUNTIF('Cleaned Dataset'!$C$2:$C$1201,C833)&gt;1,"Yes","No")</f>
        <v>No</v>
      </c>
    </row>
    <row r="834" spans="1:16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  <c r="O834" t="str">
        <f t="shared" si="12"/>
        <v>March</v>
      </c>
      <c r="P834" t="str">
        <f t="array" ref="P834">IF(COUNTIF('Cleaned Dataset'!$C$2:$C$1201,C834)&gt;1,"Yes","No")</f>
        <v>No</v>
      </c>
    </row>
    <row r="835" spans="1:16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  <c r="O835" t="str">
        <f t="shared" ref="O835:O898" si="13">TEXT(B835,"mmmm")</f>
        <v>March</v>
      </c>
      <c r="P835" t="str">
        <f t="array" ref="P835">IF(COUNTIF('Cleaned Dataset'!$C$2:$C$1201,C835)&gt;1,"Yes","No")</f>
        <v>No</v>
      </c>
    </row>
    <row r="836" spans="1:16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4320</v>
      </c>
      <c r="M836" s="2" t="s">
        <v>4278</v>
      </c>
      <c r="N836" s="2">
        <v>110.7</v>
      </c>
      <c r="O836" t="str">
        <f t="shared" si="13"/>
        <v>April</v>
      </c>
      <c r="P836" t="str">
        <f t="array" ref="P836">IF(COUNTIF('Cleaned Dataset'!$C$2:$C$1201,C836)&gt;1,"Yes","No")</f>
        <v>No</v>
      </c>
    </row>
    <row r="837" spans="1:16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  <c r="O837" t="str">
        <f t="shared" si="13"/>
        <v>March</v>
      </c>
      <c r="P837" t="str">
        <f t="array" ref="P837">IF(COUNTIF('Cleaned Dataset'!$C$2:$C$1201,C837)&gt;1,"Yes","No")</f>
        <v>No</v>
      </c>
    </row>
    <row r="838" spans="1:16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  <c r="O838" t="str">
        <f t="shared" si="13"/>
        <v>February</v>
      </c>
      <c r="P838" t="str">
        <f t="array" ref="P838">IF(COUNTIF('Cleaned Dataset'!$C$2:$C$1201,C838)&gt;1,"Yes","No")</f>
        <v>No</v>
      </c>
    </row>
    <row r="839" spans="1:16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4320</v>
      </c>
      <c r="M839" s="2" t="s">
        <v>4280</v>
      </c>
      <c r="N839" s="2">
        <v>3277.75</v>
      </c>
      <c r="O839" t="str">
        <f t="shared" si="13"/>
        <v>June</v>
      </c>
      <c r="P839" t="str">
        <f t="array" ref="P839">IF(COUNTIF('Cleaned Dataset'!$C$2:$C$1201,C839)&gt;1,"Yes","No")</f>
        <v>No</v>
      </c>
    </row>
    <row r="840" spans="1:16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4320</v>
      </c>
      <c r="M840" s="2" t="s">
        <v>4281</v>
      </c>
      <c r="N840" s="2">
        <v>2308.3200000000002</v>
      </c>
      <c r="O840" t="str">
        <f t="shared" si="13"/>
        <v>April</v>
      </c>
      <c r="P840" t="str">
        <f t="array" ref="P840">IF(COUNTIF('Cleaned Dataset'!$C$2:$C$1201,C840)&gt;1,"Yes","No")</f>
        <v>No</v>
      </c>
    </row>
    <row r="841" spans="1:16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4320</v>
      </c>
      <c r="M841" s="2" t="s">
        <v>4282</v>
      </c>
      <c r="N841" s="2">
        <v>593.91</v>
      </c>
      <c r="O841" t="str">
        <f t="shared" si="13"/>
        <v>August</v>
      </c>
      <c r="P841" t="str">
        <f t="array" ref="P841">IF(COUNTIF('Cleaned Dataset'!$C$2:$C$1201,C841)&gt;1,"Yes","No")</f>
        <v>No</v>
      </c>
    </row>
    <row r="842" spans="1:16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  <c r="O842" t="str">
        <f t="shared" si="13"/>
        <v>January</v>
      </c>
      <c r="P842" t="str">
        <f t="array" ref="P842">IF(COUNTIF('Cleaned Dataset'!$C$2:$C$1201,C842)&gt;1,"Yes","No")</f>
        <v>No</v>
      </c>
    </row>
    <row r="843" spans="1:16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4320</v>
      </c>
      <c r="M843" s="2" t="s">
        <v>4281</v>
      </c>
      <c r="N843" s="2">
        <v>886.44</v>
      </c>
      <c r="O843" t="str">
        <f t="shared" si="13"/>
        <v>September</v>
      </c>
      <c r="P843" t="str">
        <f t="array" ref="P843">IF(COUNTIF('Cleaned Dataset'!$C$2:$C$1201,C843)&gt;1,"Yes","No")</f>
        <v>No</v>
      </c>
    </row>
    <row r="844" spans="1:16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  <c r="O844" t="str">
        <f t="shared" si="13"/>
        <v>May</v>
      </c>
      <c r="P844" t="str">
        <f t="array" ref="P844">IF(COUNTIF('Cleaned Dataset'!$C$2:$C$1201,C844)&gt;1,"Yes","No")</f>
        <v>No</v>
      </c>
    </row>
    <row r="845" spans="1:16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  <c r="O845" t="str">
        <f t="shared" si="13"/>
        <v>May</v>
      </c>
      <c r="P845" t="str">
        <f t="array" ref="P845">IF(COUNTIF('Cleaned Dataset'!$C$2:$C$1201,C845)&gt;1,"Yes","No")</f>
        <v>No</v>
      </c>
    </row>
    <row r="846" spans="1:16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  <c r="O846" t="str">
        <f t="shared" si="13"/>
        <v>December</v>
      </c>
      <c r="P846" t="str">
        <f t="array" ref="P846">IF(COUNTIF('Cleaned Dataset'!$C$2:$C$1201,C846)&gt;1,"Yes","No")</f>
        <v>No</v>
      </c>
    </row>
    <row r="847" spans="1:16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  <c r="O847" t="str">
        <f t="shared" si="13"/>
        <v>October</v>
      </c>
      <c r="P847" t="str">
        <f t="array" ref="P847">IF(COUNTIF('Cleaned Dataset'!$C$2:$C$1201,C847)&gt;1,"Yes","No")</f>
        <v>No</v>
      </c>
    </row>
    <row r="848" spans="1:16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4320</v>
      </c>
      <c r="M848" s="2" t="s">
        <v>4279</v>
      </c>
      <c r="N848" s="2">
        <v>719.72</v>
      </c>
      <c r="O848" t="str">
        <f t="shared" si="13"/>
        <v>July</v>
      </c>
      <c r="P848" t="str">
        <f t="array" ref="P848">IF(COUNTIF('Cleaned Dataset'!$C$2:$C$1201,C848)&gt;1,"Yes","No")</f>
        <v>No</v>
      </c>
    </row>
    <row r="849" spans="1:16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  <c r="O849" t="str">
        <f t="shared" si="13"/>
        <v>November</v>
      </c>
      <c r="P849" t="str">
        <f t="array" ref="P849">IF(COUNTIF('Cleaned Dataset'!$C$2:$C$1201,C849)&gt;1,"Yes","No")</f>
        <v>No</v>
      </c>
    </row>
    <row r="850" spans="1:16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4320</v>
      </c>
      <c r="M850" s="2" t="s">
        <v>4279</v>
      </c>
      <c r="N850" s="2">
        <v>1291.7</v>
      </c>
      <c r="O850" t="str">
        <f t="shared" si="13"/>
        <v>January</v>
      </c>
      <c r="P850" t="str">
        <f t="array" ref="P850">IF(COUNTIF('Cleaned Dataset'!$C$2:$C$1201,C850)&gt;1,"Yes","No")</f>
        <v>No</v>
      </c>
    </row>
    <row r="851" spans="1:16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  <c r="O851" t="str">
        <f t="shared" si="13"/>
        <v>June</v>
      </c>
      <c r="P851" t="str">
        <f t="array" ref="P851">IF(COUNTIF('Cleaned Dataset'!$C$2:$C$1201,C851)&gt;1,"Yes","No")</f>
        <v>No</v>
      </c>
    </row>
    <row r="852" spans="1:16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  <c r="O852" t="str">
        <f t="shared" si="13"/>
        <v>April</v>
      </c>
      <c r="P852" t="str">
        <f t="array" ref="P852">IF(COUNTIF('Cleaned Dataset'!$C$2:$C$1201,C852)&gt;1,"Yes","No")</f>
        <v>No</v>
      </c>
    </row>
    <row r="853" spans="1:16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  <c r="O853" t="str">
        <f t="shared" si="13"/>
        <v>December</v>
      </c>
      <c r="P853" t="str">
        <f t="array" ref="P853">IF(COUNTIF('Cleaned Dataset'!$C$2:$C$1201,C853)&gt;1,"Yes","No")</f>
        <v>No</v>
      </c>
    </row>
    <row r="854" spans="1:16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  <c r="O854" t="str">
        <f t="shared" si="13"/>
        <v>October</v>
      </c>
      <c r="P854" t="str">
        <f t="array" ref="P854">IF(COUNTIF('Cleaned Dataset'!$C$2:$C$1201,C854)&gt;1,"Yes","No")</f>
        <v>No</v>
      </c>
    </row>
    <row r="855" spans="1:16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  <c r="O855" t="str">
        <f t="shared" si="13"/>
        <v>October</v>
      </c>
      <c r="P855" t="str">
        <f t="array" ref="P855">IF(COUNTIF('Cleaned Dataset'!$C$2:$C$1201,C855)&gt;1,"Yes","No")</f>
        <v>No</v>
      </c>
    </row>
    <row r="856" spans="1:16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  <c r="O856" t="str">
        <f t="shared" si="13"/>
        <v>June</v>
      </c>
      <c r="P856" t="str">
        <f t="array" ref="P856">IF(COUNTIF('Cleaned Dataset'!$C$2:$C$1201,C856)&gt;1,"Yes","No")</f>
        <v>No</v>
      </c>
    </row>
    <row r="857" spans="1:16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  <c r="O857" t="str">
        <f t="shared" si="13"/>
        <v>May</v>
      </c>
      <c r="P857" t="str">
        <f t="array" ref="P857">IF(COUNTIF('Cleaned Dataset'!$C$2:$C$1201,C857)&gt;1,"Yes","No")</f>
        <v>No</v>
      </c>
    </row>
    <row r="858" spans="1:16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4320</v>
      </c>
      <c r="M858" s="2" t="s">
        <v>4281</v>
      </c>
      <c r="N858" s="2">
        <v>586.62</v>
      </c>
      <c r="O858" t="str">
        <f t="shared" si="13"/>
        <v>June</v>
      </c>
      <c r="P858" t="str">
        <f t="array" ref="P858">IF(COUNTIF('Cleaned Dataset'!$C$2:$C$1201,C858)&gt;1,"Yes","No")</f>
        <v>No</v>
      </c>
    </row>
    <row r="859" spans="1:16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4320</v>
      </c>
      <c r="M859" s="2" t="s">
        <v>4278</v>
      </c>
      <c r="N859" s="2">
        <v>773.52</v>
      </c>
      <c r="O859" t="str">
        <f t="shared" si="13"/>
        <v>March</v>
      </c>
      <c r="P859" t="str">
        <f t="array" ref="P859">IF(COUNTIF('Cleaned Dataset'!$C$2:$C$1201,C859)&gt;1,"Yes","No")</f>
        <v>No</v>
      </c>
    </row>
    <row r="860" spans="1:16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4320</v>
      </c>
      <c r="M860" s="2" t="s">
        <v>4281</v>
      </c>
      <c r="N860" s="2">
        <v>2178.3000000000002</v>
      </c>
      <c r="O860" t="str">
        <f t="shared" si="13"/>
        <v>August</v>
      </c>
      <c r="P860" t="str">
        <f t="array" ref="P860">IF(COUNTIF('Cleaned Dataset'!$C$2:$C$1201,C860)&gt;1,"Yes","No")</f>
        <v>No</v>
      </c>
    </row>
    <row r="861" spans="1:16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  <c r="O861" t="str">
        <f t="shared" si="13"/>
        <v>August</v>
      </c>
      <c r="P861" t="str">
        <f t="array" ref="P861">IF(COUNTIF('Cleaned Dataset'!$C$2:$C$1201,C861)&gt;1,"Yes","No")</f>
        <v>No</v>
      </c>
    </row>
    <row r="862" spans="1:16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  <c r="O862" t="str">
        <f t="shared" si="13"/>
        <v>January</v>
      </c>
      <c r="P862" t="str">
        <f t="array" ref="P862">IF(COUNTIF('Cleaned Dataset'!$C$2:$C$1201,C862)&gt;1,"Yes","No")</f>
        <v>No</v>
      </c>
    </row>
    <row r="863" spans="1:16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  <c r="O863" t="str">
        <f t="shared" si="13"/>
        <v>March</v>
      </c>
      <c r="P863" t="str">
        <f t="array" ref="P863">IF(COUNTIF('Cleaned Dataset'!$C$2:$C$1201,C863)&gt;1,"Yes","No")</f>
        <v>No</v>
      </c>
    </row>
    <row r="864" spans="1:16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  <c r="O864" t="str">
        <f t="shared" si="13"/>
        <v>December</v>
      </c>
      <c r="P864" t="str">
        <f t="array" ref="P864">IF(COUNTIF('Cleaned Dataset'!$C$2:$C$1201,C864)&gt;1,"Yes","No")</f>
        <v>No</v>
      </c>
    </row>
    <row r="865" spans="1:16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  <c r="O865" t="str">
        <f t="shared" si="13"/>
        <v>May</v>
      </c>
      <c r="P865" t="str">
        <f t="array" ref="P865">IF(COUNTIF('Cleaned Dataset'!$C$2:$C$1201,C865)&gt;1,"Yes","No")</f>
        <v>No</v>
      </c>
    </row>
    <row r="866" spans="1:16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  <c r="O866" t="str">
        <f t="shared" si="13"/>
        <v>May</v>
      </c>
      <c r="P866" t="str">
        <f t="array" ref="P866">IF(COUNTIF('Cleaned Dataset'!$C$2:$C$1201,C866)&gt;1,"Yes","No")</f>
        <v>No</v>
      </c>
    </row>
    <row r="867" spans="1:16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  <c r="O867" t="str">
        <f t="shared" si="13"/>
        <v>April</v>
      </c>
      <c r="P867" t="str">
        <f t="array" ref="P867">IF(COUNTIF('Cleaned Dataset'!$C$2:$C$1201,C867)&gt;1,"Yes","No")</f>
        <v>No</v>
      </c>
    </row>
    <row r="868" spans="1:16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  <c r="O868" t="str">
        <f t="shared" si="13"/>
        <v>July</v>
      </c>
      <c r="P868" t="str">
        <f t="array" ref="P868">IF(COUNTIF('Cleaned Dataset'!$C$2:$C$1201,C868)&gt;1,"Yes","No")</f>
        <v>No</v>
      </c>
    </row>
    <row r="869" spans="1:16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  <c r="O869" t="str">
        <f t="shared" si="13"/>
        <v>May</v>
      </c>
      <c r="P869" t="str">
        <f t="array" ref="P869">IF(COUNTIF('Cleaned Dataset'!$C$2:$C$1201,C869)&gt;1,"Yes","No")</f>
        <v>No</v>
      </c>
    </row>
    <row r="870" spans="1:16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4320</v>
      </c>
      <c r="M870" s="2" t="s">
        <v>4281</v>
      </c>
      <c r="N870" s="2">
        <v>1265.28</v>
      </c>
      <c r="O870" t="str">
        <f t="shared" si="13"/>
        <v>June</v>
      </c>
      <c r="P870" t="str">
        <f t="array" ref="P870">IF(COUNTIF('Cleaned Dataset'!$C$2:$C$1201,C870)&gt;1,"Yes","No")</f>
        <v>No</v>
      </c>
    </row>
    <row r="871" spans="1:16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  <c r="O871" t="str">
        <f t="shared" si="13"/>
        <v>March</v>
      </c>
      <c r="P871" t="str">
        <f t="array" ref="P871">IF(COUNTIF('Cleaned Dataset'!$C$2:$C$1201,C871)&gt;1,"Yes","No")</f>
        <v>No</v>
      </c>
    </row>
    <row r="872" spans="1:16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  <c r="O872" t="str">
        <f t="shared" si="13"/>
        <v>June</v>
      </c>
      <c r="P872" t="str">
        <f t="array" ref="P872">IF(COUNTIF('Cleaned Dataset'!$C$2:$C$1201,C872)&gt;1,"Yes","No")</f>
        <v>No</v>
      </c>
    </row>
    <row r="873" spans="1:16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  <c r="O873" t="str">
        <f t="shared" si="13"/>
        <v>May</v>
      </c>
      <c r="P873" t="str">
        <f t="array" ref="P873">IF(COUNTIF('Cleaned Dataset'!$C$2:$C$1201,C873)&gt;1,"Yes","No")</f>
        <v>No</v>
      </c>
    </row>
    <row r="874" spans="1:16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4320</v>
      </c>
      <c r="M874" s="2" t="s">
        <v>4280</v>
      </c>
      <c r="N874" s="2">
        <v>2517.36</v>
      </c>
      <c r="O874" t="str">
        <f t="shared" si="13"/>
        <v>July</v>
      </c>
      <c r="P874" t="str">
        <f t="array" ref="P874">IF(COUNTIF('Cleaned Dataset'!$C$2:$C$1201,C874)&gt;1,"Yes","No")</f>
        <v>No</v>
      </c>
    </row>
    <row r="875" spans="1:16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  <c r="O875" t="str">
        <f t="shared" si="13"/>
        <v>May</v>
      </c>
      <c r="P875" t="str">
        <f t="array" ref="P875">IF(COUNTIF('Cleaned Dataset'!$C$2:$C$1201,C875)&gt;1,"Yes","No")</f>
        <v>No</v>
      </c>
    </row>
    <row r="876" spans="1:16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  <c r="O876" t="str">
        <f t="shared" si="13"/>
        <v>October</v>
      </c>
      <c r="P876" t="str">
        <f t="array" ref="P876">IF(COUNTIF('Cleaned Dataset'!$C$2:$C$1201,C876)&gt;1,"Yes","No")</f>
        <v>No</v>
      </c>
    </row>
    <row r="877" spans="1:16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  <c r="O877" t="str">
        <f t="shared" si="13"/>
        <v>August</v>
      </c>
      <c r="P877" t="str">
        <f t="array" ref="P877">IF(COUNTIF('Cleaned Dataset'!$C$2:$C$1201,C877)&gt;1,"Yes","No")</f>
        <v>No</v>
      </c>
    </row>
    <row r="878" spans="1:16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  <c r="O878" t="str">
        <f t="shared" si="13"/>
        <v>June</v>
      </c>
      <c r="P878" t="str">
        <f t="array" ref="P878">IF(COUNTIF('Cleaned Dataset'!$C$2:$C$1201,C878)&gt;1,"Yes","No")</f>
        <v>No</v>
      </c>
    </row>
    <row r="879" spans="1:16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  <c r="O879" t="str">
        <f t="shared" si="13"/>
        <v>July</v>
      </c>
      <c r="P879" t="str">
        <f t="array" ref="P879">IF(COUNTIF('Cleaned Dataset'!$C$2:$C$1201,C879)&gt;1,"Yes","No")</f>
        <v>No</v>
      </c>
    </row>
    <row r="880" spans="1:16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  <c r="O880" t="str">
        <f t="shared" si="13"/>
        <v>June</v>
      </c>
      <c r="P880" t="str">
        <f t="array" ref="P880">IF(COUNTIF('Cleaned Dataset'!$C$2:$C$1201,C880)&gt;1,"Yes","No")</f>
        <v>No</v>
      </c>
    </row>
    <row r="881" spans="1:16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4320</v>
      </c>
      <c r="M881" s="2" t="s">
        <v>4278</v>
      </c>
      <c r="N881" s="2">
        <v>1095.3399999999999</v>
      </c>
      <c r="O881" t="str">
        <f t="shared" si="13"/>
        <v>April</v>
      </c>
      <c r="P881" t="str">
        <f t="array" ref="P881">IF(COUNTIF('Cleaned Dataset'!$C$2:$C$1201,C881)&gt;1,"Yes","No")</f>
        <v>No</v>
      </c>
    </row>
    <row r="882" spans="1:16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  <c r="O882" t="str">
        <f t="shared" si="13"/>
        <v>March</v>
      </c>
      <c r="P882" t="str">
        <f t="array" ref="P882">IF(COUNTIF('Cleaned Dataset'!$C$2:$C$1201,C882)&gt;1,"Yes","No")</f>
        <v>No</v>
      </c>
    </row>
    <row r="883" spans="1:16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4320</v>
      </c>
      <c r="M883" s="2" t="s">
        <v>4278</v>
      </c>
      <c r="N883" s="2">
        <v>897.7</v>
      </c>
      <c r="O883" t="str">
        <f t="shared" si="13"/>
        <v>January</v>
      </c>
      <c r="P883" t="str">
        <f t="array" ref="P883">IF(COUNTIF('Cleaned Dataset'!$C$2:$C$1201,C883)&gt;1,"Yes","No")</f>
        <v>No</v>
      </c>
    </row>
    <row r="884" spans="1:16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  <c r="O884" t="str">
        <f t="shared" si="13"/>
        <v>June</v>
      </c>
      <c r="P884" t="str">
        <f t="array" ref="P884">IF(COUNTIF('Cleaned Dataset'!$C$2:$C$1201,C884)&gt;1,"Yes","No")</f>
        <v>No</v>
      </c>
    </row>
    <row r="885" spans="1:16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  <c r="O885" t="str">
        <f t="shared" si="13"/>
        <v>May</v>
      </c>
      <c r="P885" t="str">
        <f t="array" ref="P885">IF(COUNTIF('Cleaned Dataset'!$C$2:$C$1201,C885)&gt;1,"Yes","No")</f>
        <v>No</v>
      </c>
    </row>
    <row r="886" spans="1:16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4320</v>
      </c>
      <c r="M886" s="2" t="s">
        <v>4278</v>
      </c>
      <c r="N886" s="2">
        <v>595.54</v>
      </c>
      <c r="O886" t="str">
        <f t="shared" si="13"/>
        <v>May</v>
      </c>
      <c r="P886" t="str">
        <f t="array" ref="P886">IF(COUNTIF('Cleaned Dataset'!$C$2:$C$1201,C886)&gt;1,"Yes","No")</f>
        <v>No</v>
      </c>
    </row>
    <row r="887" spans="1:16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  <c r="O887" t="str">
        <f t="shared" si="13"/>
        <v>April</v>
      </c>
      <c r="P887" t="str">
        <f t="array" ref="P887">IF(COUNTIF('Cleaned Dataset'!$C$2:$C$1201,C887)&gt;1,"Yes","No")</f>
        <v>No</v>
      </c>
    </row>
    <row r="888" spans="1:16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4320</v>
      </c>
      <c r="M888" s="2" t="s">
        <v>4282</v>
      </c>
      <c r="N888" s="2">
        <v>460.13</v>
      </c>
      <c r="O888" t="str">
        <f t="shared" si="13"/>
        <v>October</v>
      </c>
      <c r="P888" t="str">
        <f t="array" ref="P888">IF(COUNTIF('Cleaned Dataset'!$C$2:$C$1201,C888)&gt;1,"Yes","No")</f>
        <v>No</v>
      </c>
    </row>
    <row r="889" spans="1:16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4320</v>
      </c>
      <c r="M889" s="2" t="s">
        <v>4282</v>
      </c>
      <c r="N889" s="2">
        <v>514.98</v>
      </c>
      <c r="O889" t="str">
        <f t="shared" si="13"/>
        <v>December</v>
      </c>
      <c r="P889" t="str">
        <f t="array" ref="P889">IF(COUNTIF('Cleaned Dataset'!$C$2:$C$1201,C889)&gt;1,"Yes","No")</f>
        <v>No</v>
      </c>
    </row>
    <row r="890" spans="1:16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4320</v>
      </c>
      <c r="M890" s="2" t="s">
        <v>4278</v>
      </c>
      <c r="N890" s="2">
        <v>533.9</v>
      </c>
      <c r="O890" t="str">
        <f t="shared" si="13"/>
        <v>July</v>
      </c>
      <c r="P890" t="str">
        <f t="array" ref="P890">IF(COUNTIF('Cleaned Dataset'!$C$2:$C$1201,C890)&gt;1,"Yes","No")</f>
        <v>No</v>
      </c>
    </row>
    <row r="891" spans="1:16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  <c r="O891" t="str">
        <f t="shared" si="13"/>
        <v>October</v>
      </c>
      <c r="P891" t="str">
        <f t="array" ref="P891">IF(COUNTIF('Cleaned Dataset'!$C$2:$C$1201,C891)&gt;1,"Yes","No")</f>
        <v>No</v>
      </c>
    </row>
    <row r="892" spans="1:16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4320</v>
      </c>
      <c r="M892" s="2" t="s">
        <v>4282</v>
      </c>
      <c r="N892" s="2">
        <v>1318.59</v>
      </c>
      <c r="O892" t="str">
        <f t="shared" si="13"/>
        <v>August</v>
      </c>
      <c r="P892" t="str">
        <f t="array" ref="P892">IF(COUNTIF('Cleaned Dataset'!$C$2:$C$1201,C892)&gt;1,"Yes","No")</f>
        <v>No</v>
      </c>
    </row>
    <row r="893" spans="1:16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  <c r="O893" t="str">
        <f t="shared" si="13"/>
        <v>November</v>
      </c>
      <c r="P893" t="str">
        <f t="array" ref="P893">IF(COUNTIF('Cleaned Dataset'!$C$2:$C$1201,C893)&gt;1,"Yes","No")</f>
        <v>No</v>
      </c>
    </row>
    <row r="894" spans="1:16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  <c r="O894" t="str">
        <f t="shared" si="13"/>
        <v>June</v>
      </c>
      <c r="P894" t="str">
        <f t="array" ref="P894">IF(COUNTIF('Cleaned Dataset'!$C$2:$C$1201,C894)&gt;1,"Yes","No")</f>
        <v>No</v>
      </c>
    </row>
    <row r="895" spans="1:16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  <c r="O895" t="str">
        <f t="shared" si="13"/>
        <v>March</v>
      </c>
      <c r="P895" t="str">
        <f t="array" ref="P895">IF(COUNTIF('Cleaned Dataset'!$C$2:$C$1201,C895)&gt;1,"Yes","No")</f>
        <v>No</v>
      </c>
    </row>
    <row r="896" spans="1:16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  <c r="O896" t="str">
        <f t="shared" si="13"/>
        <v>May</v>
      </c>
      <c r="P896" t="str">
        <f t="array" ref="P896">IF(COUNTIF('Cleaned Dataset'!$C$2:$C$1201,C896)&gt;1,"Yes","No")</f>
        <v>No</v>
      </c>
    </row>
    <row r="897" spans="1:16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  <c r="O897" t="str">
        <f t="shared" si="13"/>
        <v>November</v>
      </c>
      <c r="P897" t="str">
        <f t="array" ref="P897">IF(COUNTIF('Cleaned Dataset'!$C$2:$C$1201,C897)&gt;1,"Yes","No")</f>
        <v>No</v>
      </c>
    </row>
    <row r="898" spans="1:16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  <c r="O898" t="str">
        <f t="shared" si="13"/>
        <v>October</v>
      </c>
      <c r="P898" t="str">
        <f t="array" ref="P898">IF(COUNTIF('Cleaned Dataset'!$C$2:$C$1201,C898)&gt;1,"Yes","No")</f>
        <v>No</v>
      </c>
    </row>
    <row r="899" spans="1:16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  <c r="O899" t="str">
        <f t="shared" ref="O899:O962" si="14">TEXT(B899,"mmmm")</f>
        <v>September</v>
      </c>
      <c r="P899" t="str">
        <f t="array" ref="P899">IF(COUNTIF('Cleaned Dataset'!$C$2:$C$1201,C899)&gt;1,"Yes","No")</f>
        <v>No</v>
      </c>
    </row>
    <row r="900" spans="1:16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4320</v>
      </c>
      <c r="M900" s="2" t="s">
        <v>4279</v>
      </c>
      <c r="N900" s="2">
        <v>475.11</v>
      </c>
      <c r="O900" t="str">
        <f t="shared" si="14"/>
        <v>March</v>
      </c>
      <c r="P900" t="str">
        <f t="array" ref="P900">IF(COUNTIF('Cleaned Dataset'!$C$2:$C$1201,C900)&gt;1,"Yes","No")</f>
        <v>No</v>
      </c>
    </row>
    <row r="901" spans="1:16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  <c r="O901" t="str">
        <f t="shared" si="14"/>
        <v>April</v>
      </c>
      <c r="P901" t="str">
        <f t="array" ref="P901">IF(COUNTIF('Cleaned Dataset'!$C$2:$C$1201,C901)&gt;1,"Yes","No")</f>
        <v>No</v>
      </c>
    </row>
    <row r="902" spans="1:16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4320</v>
      </c>
      <c r="M902" s="2" t="s">
        <v>4278</v>
      </c>
      <c r="N902" s="2">
        <v>369.15</v>
      </c>
      <c r="O902" t="str">
        <f t="shared" si="14"/>
        <v>February</v>
      </c>
      <c r="P902" t="str">
        <f t="array" ref="P902">IF(COUNTIF('Cleaned Dataset'!$C$2:$C$1201,C902)&gt;1,"Yes","No")</f>
        <v>No</v>
      </c>
    </row>
    <row r="903" spans="1:16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  <c r="O903" t="str">
        <f t="shared" si="14"/>
        <v>April</v>
      </c>
      <c r="P903" t="str">
        <f t="array" ref="P903">IF(COUNTIF('Cleaned Dataset'!$C$2:$C$1201,C903)&gt;1,"Yes","No")</f>
        <v>No</v>
      </c>
    </row>
    <row r="904" spans="1:16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4320</v>
      </c>
      <c r="M904" s="2" t="s">
        <v>4281</v>
      </c>
      <c r="N904" s="2">
        <v>721</v>
      </c>
      <c r="O904" t="str">
        <f t="shared" si="14"/>
        <v>July</v>
      </c>
      <c r="P904" t="str">
        <f t="array" ref="P904">IF(COUNTIF('Cleaned Dataset'!$C$2:$C$1201,C904)&gt;1,"Yes","No")</f>
        <v>No</v>
      </c>
    </row>
    <row r="905" spans="1:16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4320</v>
      </c>
      <c r="M905" s="2" t="s">
        <v>4280</v>
      </c>
      <c r="N905" s="2">
        <v>1420.47</v>
      </c>
      <c r="O905" t="str">
        <f t="shared" si="14"/>
        <v>May</v>
      </c>
      <c r="P905" t="str">
        <f t="array" ref="P905">IF(COUNTIF('Cleaned Dataset'!$C$2:$C$1201,C905)&gt;1,"Yes","No")</f>
        <v>No</v>
      </c>
    </row>
    <row r="906" spans="1:16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  <c r="O906" t="str">
        <f t="shared" si="14"/>
        <v>February</v>
      </c>
      <c r="P906" t="str">
        <f t="array" ref="P906">IF(COUNTIF('Cleaned Dataset'!$C$2:$C$1201,C906)&gt;1,"Yes","No")</f>
        <v>No</v>
      </c>
    </row>
    <row r="907" spans="1:16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  <c r="O907" t="str">
        <f t="shared" si="14"/>
        <v>November</v>
      </c>
      <c r="P907" t="str">
        <f t="array" ref="P907">IF(COUNTIF('Cleaned Dataset'!$C$2:$C$1201,C907)&gt;1,"Yes","No")</f>
        <v>No</v>
      </c>
    </row>
    <row r="908" spans="1:16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4320</v>
      </c>
      <c r="M908" s="2" t="s">
        <v>4280</v>
      </c>
      <c r="N908" s="2">
        <v>62.12</v>
      </c>
      <c r="O908" t="str">
        <f t="shared" si="14"/>
        <v>September</v>
      </c>
      <c r="P908" t="str">
        <f t="array" ref="P908">IF(COUNTIF('Cleaned Dataset'!$C$2:$C$1201,C908)&gt;1,"Yes","No")</f>
        <v>No</v>
      </c>
    </row>
    <row r="909" spans="1:16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  <c r="O909" t="str">
        <f t="shared" si="14"/>
        <v>August</v>
      </c>
      <c r="P909" t="str">
        <f t="array" ref="P909">IF(COUNTIF('Cleaned Dataset'!$C$2:$C$1201,C909)&gt;1,"Yes","No")</f>
        <v>No</v>
      </c>
    </row>
    <row r="910" spans="1:16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  <c r="O910" t="str">
        <f t="shared" si="14"/>
        <v>May</v>
      </c>
      <c r="P910" t="str">
        <f t="array" ref="P910">IF(COUNTIF('Cleaned Dataset'!$C$2:$C$1201,C910)&gt;1,"Yes","No")</f>
        <v>No</v>
      </c>
    </row>
    <row r="911" spans="1:16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  <c r="O911" t="str">
        <f t="shared" si="14"/>
        <v>May</v>
      </c>
      <c r="P911" t="str">
        <f t="array" ref="P911">IF(COUNTIF('Cleaned Dataset'!$C$2:$C$1201,C911)&gt;1,"Yes","No")</f>
        <v>No</v>
      </c>
    </row>
    <row r="912" spans="1:16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  <c r="O912" t="str">
        <f t="shared" si="14"/>
        <v>May</v>
      </c>
      <c r="P912" t="str">
        <f t="array" ref="P912">IF(COUNTIF('Cleaned Dataset'!$C$2:$C$1201,C912)&gt;1,"Yes","No")</f>
        <v>No</v>
      </c>
    </row>
    <row r="913" spans="1:16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  <c r="O913" t="str">
        <f t="shared" si="14"/>
        <v>August</v>
      </c>
      <c r="P913" t="str">
        <f t="array" ref="P913">IF(COUNTIF('Cleaned Dataset'!$C$2:$C$1201,C913)&gt;1,"Yes","No")</f>
        <v>No</v>
      </c>
    </row>
    <row r="914" spans="1:16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  <c r="O914" t="str">
        <f t="shared" si="14"/>
        <v>January</v>
      </c>
      <c r="P914" t="str">
        <f t="array" ref="P914">IF(COUNTIF('Cleaned Dataset'!$C$2:$C$1201,C914)&gt;1,"Yes","No")</f>
        <v>No</v>
      </c>
    </row>
    <row r="915" spans="1:16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  <c r="O915" t="str">
        <f t="shared" si="14"/>
        <v>February</v>
      </c>
      <c r="P915" t="str">
        <f t="array" ref="P915">IF(COUNTIF('Cleaned Dataset'!$C$2:$C$1201,C915)&gt;1,"Yes","No")</f>
        <v>No</v>
      </c>
    </row>
    <row r="916" spans="1:16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  <c r="O916" t="str">
        <f t="shared" si="14"/>
        <v>February</v>
      </c>
      <c r="P916" t="str">
        <f t="array" ref="P916">IF(COUNTIF('Cleaned Dataset'!$C$2:$C$1201,C916)&gt;1,"Yes","No")</f>
        <v>No</v>
      </c>
    </row>
    <row r="917" spans="1:16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  <c r="O917" t="str">
        <f t="shared" si="14"/>
        <v>February</v>
      </c>
      <c r="P917" t="str">
        <f t="array" ref="P917">IF(COUNTIF('Cleaned Dataset'!$C$2:$C$1201,C917)&gt;1,"Yes","No")</f>
        <v>No</v>
      </c>
    </row>
    <row r="918" spans="1:16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4320</v>
      </c>
      <c r="M918" s="2" t="s">
        <v>4279</v>
      </c>
      <c r="N918" s="2">
        <v>2894.15</v>
      </c>
      <c r="O918" t="str">
        <f t="shared" si="14"/>
        <v>June</v>
      </c>
      <c r="P918" t="str">
        <f t="array" ref="P918">IF(COUNTIF('Cleaned Dataset'!$C$2:$C$1201,C918)&gt;1,"Yes","No")</f>
        <v>No</v>
      </c>
    </row>
    <row r="919" spans="1:16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  <c r="O919" t="str">
        <f t="shared" si="14"/>
        <v>January</v>
      </c>
      <c r="P919" t="str">
        <f t="array" ref="P919">IF(COUNTIF('Cleaned Dataset'!$C$2:$C$1201,C919)&gt;1,"Yes","No")</f>
        <v>No</v>
      </c>
    </row>
    <row r="920" spans="1:16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4320</v>
      </c>
      <c r="M920" s="2" t="s">
        <v>4278</v>
      </c>
      <c r="N920" s="2">
        <v>1841.25</v>
      </c>
      <c r="O920" t="str">
        <f t="shared" si="14"/>
        <v>June</v>
      </c>
      <c r="P920" t="str">
        <f t="array" ref="P920">IF(COUNTIF('Cleaned Dataset'!$C$2:$C$1201,C920)&gt;1,"Yes","No")</f>
        <v>No</v>
      </c>
    </row>
    <row r="921" spans="1:16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  <c r="O921" t="str">
        <f t="shared" si="14"/>
        <v>February</v>
      </c>
      <c r="P921" t="str">
        <f t="array" ref="P921">IF(COUNTIF('Cleaned Dataset'!$C$2:$C$1201,C921)&gt;1,"Yes","No")</f>
        <v>No</v>
      </c>
    </row>
    <row r="922" spans="1:16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4320</v>
      </c>
      <c r="M922" s="2" t="s">
        <v>4278</v>
      </c>
      <c r="N922" s="2">
        <v>856.18</v>
      </c>
      <c r="O922" t="str">
        <f t="shared" si="14"/>
        <v>March</v>
      </c>
      <c r="P922" t="str">
        <f t="array" ref="P922">IF(COUNTIF('Cleaned Dataset'!$C$2:$C$1201,C922)&gt;1,"Yes","No")</f>
        <v>No</v>
      </c>
    </row>
    <row r="923" spans="1:16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  <c r="O923" t="str">
        <f t="shared" si="14"/>
        <v>July</v>
      </c>
      <c r="P923" t="str">
        <f t="array" ref="P923">IF(COUNTIF('Cleaned Dataset'!$C$2:$C$1201,C923)&gt;1,"Yes","No")</f>
        <v>No</v>
      </c>
    </row>
    <row r="924" spans="1:16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4320</v>
      </c>
      <c r="M924" s="2" t="s">
        <v>4278</v>
      </c>
      <c r="N924" s="2">
        <v>1127.6400000000001</v>
      </c>
      <c r="O924" t="str">
        <f t="shared" si="14"/>
        <v>June</v>
      </c>
      <c r="P924" t="str">
        <f t="array" ref="P924">IF(COUNTIF('Cleaned Dataset'!$C$2:$C$1201,C924)&gt;1,"Yes","No")</f>
        <v>No</v>
      </c>
    </row>
    <row r="925" spans="1:16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  <c r="O925" t="str">
        <f t="shared" si="14"/>
        <v>February</v>
      </c>
      <c r="P925" t="str">
        <f t="array" ref="P925">IF(COUNTIF('Cleaned Dataset'!$C$2:$C$1201,C925)&gt;1,"Yes","No")</f>
        <v>No</v>
      </c>
    </row>
    <row r="926" spans="1:16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  <c r="O926" t="str">
        <f t="shared" si="14"/>
        <v>March</v>
      </c>
      <c r="P926" t="str">
        <f t="array" ref="P926">IF(COUNTIF('Cleaned Dataset'!$C$2:$C$1201,C926)&gt;1,"Yes","No")</f>
        <v>No</v>
      </c>
    </row>
    <row r="927" spans="1:16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  <c r="O927" t="str">
        <f t="shared" si="14"/>
        <v>December</v>
      </c>
      <c r="P927" t="str">
        <f t="array" ref="P927">IF(COUNTIF('Cleaned Dataset'!$C$2:$C$1201,C927)&gt;1,"Yes","No")</f>
        <v>No</v>
      </c>
    </row>
    <row r="928" spans="1:16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  <c r="O928" t="str">
        <f t="shared" si="14"/>
        <v>March</v>
      </c>
      <c r="P928" t="str">
        <f t="array" ref="P928">IF(COUNTIF('Cleaned Dataset'!$C$2:$C$1201,C928)&gt;1,"Yes","No")</f>
        <v>No</v>
      </c>
    </row>
    <row r="929" spans="1:16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  <c r="O929" t="str">
        <f t="shared" si="14"/>
        <v>February</v>
      </c>
      <c r="P929" t="str">
        <f t="array" ref="P929">IF(COUNTIF('Cleaned Dataset'!$C$2:$C$1201,C929)&gt;1,"Yes","No")</f>
        <v>No</v>
      </c>
    </row>
    <row r="930" spans="1:16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  <c r="O930" t="str">
        <f t="shared" si="14"/>
        <v>May</v>
      </c>
      <c r="P930" t="str">
        <f t="array" ref="P930">IF(COUNTIF('Cleaned Dataset'!$C$2:$C$1201,C930)&gt;1,"Yes","No")</f>
        <v>No</v>
      </c>
    </row>
    <row r="931" spans="1:16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4320</v>
      </c>
      <c r="M931" s="2" t="s">
        <v>4280</v>
      </c>
      <c r="N931" s="2">
        <v>1072.5</v>
      </c>
      <c r="O931" t="str">
        <f t="shared" si="14"/>
        <v>October</v>
      </c>
      <c r="P931" t="str">
        <f t="array" ref="P931">IF(COUNTIF('Cleaned Dataset'!$C$2:$C$1201,C931)&gt;1,"Yes","No")</f>
        <v>No</v>
      </c>
    </row>
    <row r="932" spans="1:16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  <c r="O932" t="str">
        <f t="shared" si="14"/>
        <v>December</v>
      </c>
      <c r="P932" t="str">
        <f t="array" ref="P932">IF(COUNTIF('Cleaned Dataset'!$C$2:$C$1201,C932)&gt;1,"Yes","No")</f>
        <v>No</v>
      </c>
    </row>
    <row r="933" spans="1:16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  <c r="O933" t="str">
        <f t="shared" si="14"/>
        <v>January</v>
      </c>
      <c r="P933" t="str">
        <f t="array" ref="P933">IF(COUNTIF('Cleaned Dataset'!$C$2:$C$1201,C933)&gt;1,"Yes","No")</f>
        <v>No</v>
      </c>
    </row>
    <row r="934" spans="1:16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  <c r="O934" t="str">
        <f t="shared" si="14"/>
        <v>March</v>
      </c>
      <c r="P934" t="str">
        <f t="array" ref="P934">IF(COUNTIF('Cleaned Dataset'!$C$2:$C$1201,C934)&gt;1,"Yes","No")</f>
        <v>No</v>
      </c>
    </row>
    <row r="935" spans="1:16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4320</v>
      </c>
      <c r="M935" s="2" t="s">
        <v>4279</v>
      </c>
      <c r="N935" s="2">
        <v>788.32</v>
      </c>
      <c r="O935" t="str">
        <f t="shared" si="14"/>
        <v>January</v>
      </c>
      <c r="P935" t="str">
        <f t="array" ref="P935">IF(COUNTIF('Cleaned Dataset'!$C$2:$C$1201,C935)&gt;1,"Yes","No")</f>
        <v>No</v>
      </c>
    </row>
    <row r="936" spans="1:16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  <c r="O936" t="str">
        <f t="shared" si="14"/>
        <v>June</v>
      </c>
      <c r="P936" t="str">
        <f t="array" ref="P936">IF(COUNTIF('Cleaned Dataset'!$C$2:$C$1201,C936)&gt;1,"Yes","No")</f>
        <v>No</v>
      </c>
    </row>
    <row r="937" spans="1:16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  <c r="O937" t="str">
        <f t="shared" si="14"/>
        <v>November</v>
      </c>
      <c r="P937" t="str">
        <f t="array" ref="P937">IF(COUNTIF('Cleaned Dataset'!$C$2:$C$1201,C937)&gt;1,"Yes","No")</f>
        <v>No</v>
      </c>
    </row>
    <row r="938" spans="1:16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  <c r="O938" t="str">
        <f t="shared" si="14"/>
        <v>January</v>
      </c>
      <c r="P938" t="str">
        <f t="array" ref="P938">IF(COUNTIF('Cleaned Dataset'!$C$2:$C$1201,C938)&gt;1,"Yes","No")</f>
        <v>No</v>
      </c>
    </row>
    <row r="939" spans="1:16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  <c r="O939" t="str">
        <f t="shared" si="14"/>
        <v>January</v>
      </c>
      <c r="P939" t="str">
        <f t="array" ref="P939">IF(COUNTIF('Cleaned Dataset'!$C$2:$C$1201,C939)&gt;1,"Yes","No")</f>
        <v>No</v>
      </c>
    </row>
    <row r="940" spans="1:16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  <c r="O940" t="str">
        <f t="shared" si="14"/>
        <v>July</v>
      </c>
      <c r="P940" t="str">
        <f t="array" ref="P940">IF(COUNTIF('Cleaned Dataset'!$C$2:$C$1201,C940)&gt;1,"Yes","No")</f>
        <v>No</v>
      </c>
    </row>
    <row r="941" spans="1:16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  <c r="O941" t="str">
        <f t="shared" si="14"/>
        <v>April</v>
      </c>
      <c r="P941" t="str">
        <f t="array" ref="P941">IF(COUNTIF('Cleaned Dataset'!$C$2:$C$1201,C941)&gt;1,"Yes","No")</f>
        <v>No</v>
      </c>
    </row>
    <row r="942" spans="1:16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  <c r="O942" t="str">
        <f t="shared" si="14"/>
        <v>March</v>
      </c>
      <c r="P942" t="str">
        <f t="array" ref="P942">IF(COUNTIF('Cleaned Dataset'!$C$2:$C$1201,C942)&gt;1,"Yes","No")</f>
        <v>No</v>
      </c>
    </row>
    <row r="943" spans="1:16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  <c r="O943" t="str">
        <f t="shared" si="14"/>
        <v>July</v>
      </c>
      <c r="P943" t="str">
        <f t="array" ref="P943">IF(COUNTIF('Cleaned Dataset'!$C$2:$C$1201,C943)&gt;1,"Yes","No")</f>
        <v>Yes</v>
      </c>
    </row>
    <row r="944" spans="1:16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4320</v>
      </c>
      <c r="M944" s="2" t="s">
        <v>4280</v>
      </c>
      <c r="N944" s="2">
        <v>479.76</v>
      </c>
      <c r="O944" t="str">
        <f t="shared" si="14"/>
        <v>September</v>
      </c>
      <c r="P944" t="str">
        <f t="array" ref="P944">IF(COUNTIF('Cleaned Dataset'!$C$2:$C$1201,C944)&gt;1,"Yes","No")</f>
        <v>No</v>
      </c>
    </row>
    <row r="945" spans="1:16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  <c r="O945" t="str">
        <f t="shared" si="14"/>
        <v>December</v>
      </c>
      <c r="P945" t="str">
        <f t="array" ref="P945">IF(COUNTIF('Cleaned Dataset'!$C$2:$C$1201,C945)&gt;1,"Yes","No")</f>
        <v>No</v>
      </c>
    </row>
    <row r="946" spans="1:16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  <c r="O946" t="str">
        <f t="shared" si="14"/>
        <v>December</v>
      </c>
      <c r="P946" t="str">
        <f t="array" ref="P946">IF(COUNTIF('Cleaned Dataset'!$C$2:$C$1201,C946)&gt;1,"Yes","No")</f>
        <v>No</v>
      </c>
    </row>
    <row r="947" spans="1:16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  <c r="O947" t="str">
        <f t="shared" si="14"/>
        <v>August</v>
      </c>
      <c r="P947" t="str">
        <f t="array" ref="P947">IF(COUNTIF('Cleaned Dataset'!$C$2:$C$1201,C947)&gt;1,"Yes","No")</f>
        <v>No</v>
      </c>
    </row>
    <row r="948" spans="1:16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  <c r="O948" t="str">
        <f t="shared" si="14"/>
        <v>May</v>
      </c>
      <c r="P948" t="str">
        <f t="array" ref="P948">IF(COUNTIF('Cleaned Dataset'!$C$2:$C$1201,C948)&gt;1,"Yes","No")</f>
        <v>No</v>
      </c>
    </row>
    <row r="949" spans="1:16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  <c r="O949" t="str">
        <f t="shared" si="14"/>
        <v>September</v>
      </c>
      <c r="P949" t="str">
        <f t="array" ref="P949">IF(COUNTIF('Cleaned Dataset'!$C$2:$C$1201,C949)&gt;1,"Yes","No")</f>
        <v>No</v>
      </c>
    </row>
    <row r="950" spans="1:16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4320</v>
      </c>
      <c r="M950" s="2" t="s">
        <v>4282</v>
      </c>
      <c r="N950" s="2">
        <v>1188.1400000000001</v>
      </c>
      <c r="O950" t="str">
        <f t="shared" si="14"/>
        <v>June</v>
      </c>
      <c r="P950" t="str">
        <f t="array" ref="P950">IF(COUNTIF('Cleaned Dataset'!$C$2:$C$1201,C950)&gt;1,"Yes","No")</f>
        <v>Yes</v>
      </c>
    </row>
    <row r="951" spans="1:16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4320</v>
      </c>
      <c r="M951" s="2" t="s">
        <v>4279</v>
      </c>
      <c r="N951" s="2">
        <v>551.9</v>
      </c>
      <c r="O951" t="str">
        <f t="shared" si="14"/>
        <v>November</v>
      </c>
      <c r="P951" t="str">
        <f t="array" ref="P951">IF(COUNTIF('Cleaned Dataset'!$C$2:$C$1201,C951)&gt;1,"Yes","No")</f>
        <v>No</v>
      </c>
    </row>
    <row r="952" spans="1:16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  <c r="O952" t="str">
        <f t="shared" si="14"/>
        <v>May</v>
      </c>
      <c r="P952" t="str">
        <f t="array" ref="P952">IF(COUNTIF('Cleaned Dataset'!$C$2:$C$1201,C952)&gt;1,"Yes","No")</f>
        <v>No</v>
      </c>
    </row>
    <row r="953" spans="1:16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  <c r="O953" t="str">
        <f t="shared" si="14"/>
        <v>July</v>
      </c>
      <c r="P953" t="str">
        <f t="array" ref="P953">IF(COUNTIF('Cleaned Dataset'!$C$2:$C$1201,C953)&gt;1,"Yes","No")</f>
        <v>No</v>
      </c>
    </row>
    <row r="954" spans="1:16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4320</v>
      </c>
      <c r="M954" s="2" t="s">
        <v>4281</v>
      </c>
      <c r="N954" s="2">
        <v>1510.17</v>
      </c>
      <c r="O954" t="str">
        <f t="shared" si="14"/>
        <v>February</v>
      </c>
      <c r="P954" t="str">
        <f t="array" ref="P954">IF(COUNTIF('Cleaned Dataset'!$C$2:$C$1201,C954)&gt;1,"Yes","No")</f>
        <v>No</v>
      </c>
    </row>
    <row r="955" spans="1:16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  <c r="O955" t="str">
        <f t="shared" si="14"/>
        <v>February</v>
      </c>
      <c r="P955" t="str">
        <f t="array" ref="P955">IF(COUNTIF('Cleaned Dataset'!$C$2:$C$1201,C955)&gt;1,"Yes","No")</f>
        <v>No</v>
      </c>
    </row>
    <row r="956" spans="1:16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  <c r="O956" t="str">
        <f t="shared" si="14"/>
        <v>October</v>
      </c>
      <c r="P956" t="str">
        <f t="array" ref="P956">IF(COUNTIF('Cleaned Dataset'!$C$2:$C$1201,C956)&gt;1,"Yes","No")</f>
        <v>No</v>
      </c>
    </row>
    <row r="957" spans="1:16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  <c r="O957" t="str">
        <f t="shared" si="14"/>
        <v>January</v>
      </c>
      <c r="P957" t="str">
        <f t="array" ref="P957">IF(COUNTIF('Cleaned Dataset'!$C$2:$C$1201,C957)&gt;1,"Yes","No")</f>
        <v>No</v>
      </c>
    </row>
    <row r="958" spans="1:16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  <c r="O958" t="str">
        <f t="shared" si="14"/>
        <v>April</v>
      </c>
      <c r="P958" t="str">
        <f t="array" ref="P958">IF(COUNTIF('Cleaned Dataset'!$C$2:$C$1201,C958)&gt;1,"Yes","No")</f>
        <v>Yes</v>
      </c>
    </row>
    <row r="959" spans="1:16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  <c r="O959" t="str">
        <f t="shared" si="14"/>
        <v>January</v>
      </c>
      <c r="P959" t="str">
        <f t="array" ref="P959">IF(COUNTIF('Cleaned Dataset'!$C$2:$C$1201,C959)&gt;1,"Yes","No")</f>
        <v>No</v>
      </c>
    </row>
    <row r="960" spans="1:16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  <c r="O960" t="str">
        <f t="shared" si="14"/>
        <v>May</v>
      </c>
      <c r="P960" t="str">
        <f t="array" ref="P960">IF(COUNTIF('Cleaned Dataset'!$C$2:$C$1201,C960)&gt;1,"Yes","No")</f>
        <v>No</v>
      </c>
    </row>
    <row r="961" spans="1:16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  <c r="O961" t="str">
        <f t="shared" si="14"/>
        <v>April</v>
      </c>
      <c r="P961" t="str">
        <f t="array" ref="P961">IF(COUNTIF('Cleaned Dataset'!$C$2:$C$1201,C961)&gt;1,"Yes","No")</f>
        <v>No</v>
      </c>
    </row>
    <row r="962" spans="1:16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  <c r="O962" t="str">
        <f t="shared" si="14"/>
        <v>December</v>
      </c>
      <c r="P962" t="str">
        <f t="array" ref="P962">IF(COUNTIF('Cleaned Dataset'!$C$2:$C$1201,C962)&gt;1,"Yes","No")</f>
        <v>No</v>
      </c>
    </row>
    <row r="963" spans="1:16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4320</v>
      </c>
      <c r="M963" s="2" t="s">
        <v>4281</v>
      </c>
      <c r="N963" s="2">
        <v>601.36</v>
      </c>
      <c r="O963" t="str">
        <f t="shared" ref="O963:O1026" si="15">TEXT(B963,"mmmm")</f>
        <v>November</v>
      </c>
      <c r="P963" t="str">
        <f t="array" ref="P963">IF(COUNTIF('Cleaned Dataset'!$C$2:$C$1201,C963)&gt;1,"Yes","No")</f>
        <v>No</v>
      </c>
    </row>
    <row r="964" spans="1:16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  <c r="O964" t="str">
        <f t="shared" si="15"/>
        <v>September</v>
      </c>
      <c r="P964" t="str">
        <f t="array" ref="P964">IF(COUNTIF('Cleaned Dataset'!$C$2:$C$1201,C964)&gt;1,"Yes","No")</f>
        <v>No</v>
      </c>
    </row>
    <row r="965" spans="1:16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  <c r="O965" t="str">
        <f t="shared" si="15"/>
        <v>March</v>
      </c>
      <c r="P965" t="str">
        <f t="array" ref="P965">IF(COUNTIF('Cleaned Dataset'!$C$2:$C$1201,C965)&gt;1,"Yes","No")</f>
        <v>No</v>
      </c>
    </row>
    <row r="966" spans="1:16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  <c r="O966" t="str">
        <f t="shared" si="15"/>
        <v>August</v>
      </c>
      <c r="P966" t="str">
        <f t="array" ref="P966">IF(COUNTIF('Cleaned Dataset'!$C$2:$C$1201,C966)&gt;1,"Yes","No")</f>
        <v>No</v>
      </c>
    </row>
    <row r="967" spans="1:16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  <c r="O967" t="str">
        <f t="shared" si="15"/>
        <v>June</v>
      </c>
      <c r="P967" t="str">
        <f t="array" ref="P967">IF(COUNTIF('Cleaned Dataset'!$C$2:$C$1201,C967)&gt;1,"Yes","No")</f>
        <v>No</v>
      </c>
    </row>
    <row r="968" spans="1:16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  <c r="O968" t="str">
        <f t="shared" si="15"/>
        <v>May</v>
      </c>
      <c r="P968" t="str">
        <f t="array" ref="P968">IF(COUNTIF('Cleaned Dataset'!$C$2:$C$1201,C968)&gt;1,"Yes","No")</f>
        <v>No</v>
      </c>
    </row>
    <row r="969" spans="1:16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  <c r="O969" t="str">
        <f t="shared" si="15"/>
        <v>May</v>
      </c>
      <c r="P969" t="str">
        <f t="array" ref="P969">IF(COUNTIF('Cleaned Dataset'!$C$2:$C$1201,C969)&gt;1,"Yes","No")</f>
        <v>No</v>
      </c>
    </row>
    <row r="970" spans="1:16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  <c r="O970" t="str">
        <f t="shared" si="15"/>
        <v>February</v>
      </c>
      <c r="P970" t="str">
        <f t="array" ref="P970">IF(COUNTIF('Cleaned Dataset'!$C$2:$C$1201,C970)&gt;1,"Yes","No")</f>
        <v>No</v>
      </c>
    </row>
    <row r="971" spans="1:16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  <c r="O971" t="str">
        <f t="shared" si="15"/>
        <v>June</v>
      </c>
      <c r="P971" t="str">
        <f t="array" ref="P971">IF(COUNTIF('Cleaned Dataset'!$C$2:$C$1201,C971)&gt;1,"Yes","No")</f>
        <v>No</v>
      </c>
    </row>
    <row r="972" spans="1:16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  <c r="O972" t="str">
        <f t="shared" si="15"/>
        <v>September</v>
      </c>
      <c r="P972" t="str">
        <f t="array" ref="P972">IF(COUNTIF('Cleaned Dataset'!$C$2:$C$1201,C972)&gt;1,"Yes","No")</f>
        <v>No</v>
      </c>
    </row>
    <row r="973" spans="1:16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  <c r="O973" t="str">
        <f t="shared" si="15"/>
        <v>May</v>
      </c>
      <c r="P973" t="str">
        <f t="array" ref="P973">IF(COUNTIF('Cleaned Dataset'!$C$2:$C$1201,C973)&gt;1,"Yes","No")</f>
        <v>No</v>
      </c>
    </row>
    <row r="974" spans="1:16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  <c r="O974" t="str">
        <f t="shared" si="15"/>
        <v>June</v>
      </c>
      <c r="P974" t="str">
        <f t="array" ref="P974">IF(COUNTIF('Cleaned Dataset'!$C$2:$C$1201,C974)&gt;1,"Yes","No")</f>
        <v>No</v>
      </c>
    </row>
    <row r="975" spans="1:16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  <c r="O975" t="str">
        <f t="shared" si="15"/>
        <v>June</v>
      </c>
      <c r="P975" t="str">
        <f t="array" ref="P975">IF(COUNTIF('Cleaned Dataset'!$C$2:$C$1201,C975)&gt;1,"Yes","No")</f>
        <v>No</v>
      </c>
    </row>
    <row r="976" spans="1:16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4320</v>
      </c>
      <c r="M976" s="2" t="s">
        <v>4280</v>
      </c>
      <c r="N976" s="2">
        <v>1333.9</v>
      </c>
      <c r="O976" t="str">
        <f t="shared" si="15"/>
        <v>September</v>
      </c>
      <c r="P976" t="str">
        <f t="array" ref="P976">IF(COUNTIF('Cleaned Dataset'!$C$2:$C$1201,C976)&gt;1,"Yes","No")</f>
        <v>No</v>
      </c>
    </row>
    <row r="977" spans="1:16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  <c r="O977" t="str">
        <f t="shared" si="15"/>
        <v>May</v>
      </c>
      <c r="P977" t="str">
        <f t="array" ref="P977">IF(COUNTIF('Cleaned Dataset'!$C$2:$C$1201,C977)&gt;1,"Yes","No")</f>
        <v>No</v>
      </c>
    </row>
    <row r="978" spans="1:16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  <c r="O978" t="str">
        <f t="shared" si="15"/>
        <v>April</v>
      </c>
      <c r="P978" t="str">
        <f t="array" ref="P978">IF(COUNTIF('Cleaned Dataset'!$C$2:$C$1201,C978)&gt;1,"Yes","No")</f>
        <v>No</v>
      </c>
    </row>
    <row r="979" spans="1:16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  <c r="O979" t="str">
        <f t="shared" si="15"/>
        <v>January</v>
      </c>
      <c r="P979" t="str">
        <f t="array" ref="P979">IF(COUNTIF('Cleaned Dataset'!$C$2:$C$1201,C979)&gt;1,"Yes","No")</f>
        <v>No</v>
      </c>
    </row>
    <row r="980" spans="1:16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4320</v>
      </c>
      <c r="M980" s="2" t="s">
        <v>4282</v>
      </c>
      <c r="N980" s="2">
        <v>429.96</v>
      </c>
      <c r="O980" t="str">
        <f t="shared" si="15"/>
        <v>June</v>
      </c>
      <c r="P980" t="str">
        <f t="array" ref="P980">IF(COUNTIF('Cleaned Dataset'!$C$2:$C$1201,C980)&gt;1,"Yes","No")</f>
        <v>No</v>
      </c>
    </row>
    <row r="981" spans="1:16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  <c r="O981" t="str">
        <f t="shared" si="15"/>
        <v>May</v>
      </c>
      <c r="P981" t="str">
        <f t="array" ref="P981">IF(COUNTIF('Cleaned Dataset'!$C$2:$C$1201,C981)&gt;1,"Yes","No")</f>
        <v>No</v>
      </c>
    </row>
    <row r="982" spans="1:16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  <c r="O982" t="str">
        <f t="shared" si="15"/>
        <v>October</v>
      </c>
      <c r="P982" t="str">
        <f t="array" ref="P982">IF(COUNTIF('Cleaned Dataset'!$C$2:$C$1201,C982)&gt;1,"Yes","No")</f>
        <v>No</v>
      </c>
    </row>
    <row r="983" spans="1:16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  <c r="O983" t="str">
        <f t="shared" si="15"/>
        <v>November</v>
      </c>
      <c r="P983" t="str">
        <f t="array" ref="P983">IF(COUNTIF('Cleaned Dataset'!$C$2:$C$1201,C983)&gt;1,"Yes","No")</f>
        <v>No</v>
      </c>
    </row>
    <row r="984" spans="1:16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  <c r="O984" t="str">
        <f t="shared" si="15"/>
        <v>September</v>
      </c>
      <c r="P984" t="str">
        <f t="array" ref="P984">IF(COUNTIF('Cleaned Dataset'!$C$2:$C$1201,C984)&gt;1,"Yes","No")</f>
        <v>No</v>
      </c>
    </row>
    <row r="985" spans="1:16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  <c r="O985" t="str">
        <f t="shared" si="15"/>
        <v>November</v>
      </c>
      <c r="P985" t="str">
        <f t="array" ref="P985">IF(COUNTIF('Cleaned Dataset'!$C$2:$C$1201,C985)&gt;1,"Yes","No")</f>
        <v>No</v>
      </c>
    </row>
    <row r="986" spans="1:16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  <c r="O986" t="str">
        <f t="shared" si="15"/>
        <v>February</v>
      </c>
      <c r="P986" t="str">
        <f t="array" ref="P986">IF(COUNTIF('Cleaned Dataset'!$C$2:$C$1201,C986)&gt;1,"Yes","No")</f>
        <v>No</v>
      </c>
    </row>
    <row r="987" spans="1:16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  <c r="O987" t="str">
        <f t="shared" si="15"/>
        <v>July</v>
      </c>
      <c r="P987" t="str">
        <f t="array" ref="P987">IF(COUNTIF('Cleaned Dataset'!$C$2:$C$1201,C987)&gt;1,"Yes","No")</f>
        <v>No</v>
      </c>
    </row>
    <row r="988" spans="1:16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  <c r="O988" t="str">
        <f t="shared" si="15"/>
        <v>September</v>
      </c>
      <c r="P988" t="str">
        <f t="array" ref="P988">IF(COUNTIF('Cleaned Dataset'!$C$2:$C$1201,C988)&gt;1,"Yes","No")</f>
        <v>No</v>
      </c>
    </row>
    <row r="989" spans="1:16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  <c r="O989" t="str">
        <f t="shared" si="15"/>
        <v>June</v>
      </c>
      <c r="P989" t="str">
        <f t="array" ref="P989">IF(COUNTIF('Cleaned Dataset'!$C$2:$C$1201,C989)&gt;1,"Yes","No")</f>
        <v>No</v>
      </c>
    </row>
    <row r="990" spans="1:16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  <c r="O990" t="str">
        <f t="shared" si="15"/>
        <v>February</v>
      </c>
      <c r="P990" t="str">
        <f t="array" ref="P990">IF(COUNTIF('Cleaned Dataset'!$C$2:$C$1201,C990)&gt;1,"Yes","No")</f>
        <v>No</v>
      </c>
    </row>
    <row r="991" spans="1:16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  <c r="O991" t="str">
        <f t="shared" si="15"/>
        <v>March</v>
      </c>
      <c r="P991" t="str">
        <f t="array" ref="P991">IF(COUNTIF('Cleaned Dataset'!$C$2:$C$1201,C991)&gt;1,"Yes","No")</f>
        <v>No</v>
      </c>
    </row>
    <row r="992" spans="1:16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  <c r="O992" t="str">
        <f t="shared" si="15"/>
        <v>November</v>
      </c>
      <c r="P992" t="str">
        <f t="array" ref="P992">IF(COUNTIF('Cleaned Dataset'!$C$2:$C$1201,C992)&gt;1,"Yes","No")</f>
        <v>No</v>
      </c>
    </row>
    <row r="993" spans="1:16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  <c r="O993" t="str">
        <f t="shared" si="15"/>
        <v>May</v>
      </c>
      <c r="P993" t="str">
        <f t="array" ref="P993">IF(COUNTIF('Cleaned Dataset'!$C$2:$C$1201,C993)&gt;1,"Yes","No")</f>
        <v>No</v>
      </c>
    </row>
    <row r="994" spans="1:16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  <c r="O994" t="str">
        <f t="shared" si="15"/>
        <v>August</v>
      </c>
      <c r="P994" t="str">
        <f t="array" ref="P994">IF(COUNTIF('Cleaned Dataset'!$C$2:$C$1201,C994)&gt;1,"Yes","No")</f>
        <v>No</v>
      </c>
    </row>
    <row r="995" spans="1:16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  <c r="O995" t="str">
        <f t="shared" si="15"/>
        <v>April</v>
      </c>
      <c r="P995" t="str">
        <f t="array" ref="P995">IF(COUNTIF('Cleaned Dataset'!$C$2:$C$1201,C995)&gt;1,"Yes","No")</f>
        <v>No</v>
      </c>
    </row>
    <row r="996" spans="1:16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  <c r="O996" t="str">
        <f t="shared" si="15"/>
        <v>June</v>
      </c>
      <c r="P996" t="str">
        <f t="array" ref="P996">IF(COUNTIF('Cleaned Dataset'!$C$2:$C$1201,C996)&gt;1,"Yes","No")</f>
        <v>No</v>
      </c>
    </row>
    <row r="997" spans="1:16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  <c r="O997" t="str">
        <f t="shared" si="15"/>
        <v>November</v>
      </c>
      <c r="P997" t="str">
        <f t="array" ref="P997">IF(COUNTIF('Cleaned Dataset'!$C$2:$C$1201,C997)&gt;1,"Yes","No")</f>
        <v>No</v>
      </c>
    </row>
    <row r="998" spans="1:16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  <c r="O998" t="str">
        <f t="shared" si="15"/>
        <v>April</v>
      </c>
      <c r="P998" t="str">
        <f t="array" ref="P998">IF(COUNTIF('Cleaned Dataset'!$C$2:$C$1201,C998)&gt;1,"Yes","No")</f>
        <v>No</v>
      </c>
    </row>
    <row r="999" spans="1:16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  <c r="O999" t="str">
        <f t="shared" si="15"/>
        <v>November</v>
      </c>
      <c r="P999" t="str">
        <f t="array" ref="P999">IF(COUNTIF('Cleaned Dataset'!$C$2:$C$1201,C999)&gt;1,"Yes","No")</f>
        <v>No</v>
      </c>
    </row>
    <row r="1000" spans="1:16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  <c r="O1000" t="str">
        <f t="shared" si="15"/>
        <v>May</v>
      </c>
      <c r="P1000" t="str">
        <f t="array" ref="P1000">IF(COUNTIF('Cleaned Dataset'!$C$2:$C$1201,C1000)&gt;1,"Yes","No")</f>
        <v>No</v>
      </c>
    </row>
    <row r="1001" spans="1:16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  <c r="O1001" t="str">
        <f t="shared" si="15"/>
        <v>December</v>
      </c>
      <c r="P1001" t="str">
        <f t="array" ref="P1001">IF(COUNTIF('Cleaned Dataset'!$C$2:$C$1201,C1001)&gt;1,"Yes","No")</f>
        <v>No</v>
      </c>
    </row>
    <row r="1002" spans="1:16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  <c r="O1002" t="str">
        <f t="shared" si="15"/>
        <v>June</v>
      </c>
      <c r="P1002" t="str">
        <f t="array" ref="P1002">IF(COUNTIF('Cleaned Dataset'!$C$2:$C$1201,C1002)&gt;1,"Yes","No")</f>
        <v>No</v>
      </c>
    </row>
    <row r="1003" spans="1:16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4320</v>
      </c>
      <c r="M1003" s="2" t="s">
        <v>4279</v>
      </c>
      <c r="N1003" s="2">
        <v>507.36</v>
      </c>
      <c r="O1003" t="str">
        <f t="shared" si="15"/>
        <v>December</v>
      </c>
      <c r="P1003" t="str">
        <f t="array" ref="P1003">IF(COUNTIF('Cleaned Dataset'!$C$2:$C$1201,C1003)&gt;1,"Yes","No")</f>
        <v>No</v>
      </c>
    </row>
    <row r="1004" spans="1:16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  <c r="O1004" t="str">
        <f t="shared" si="15"/>
        <v>June</v>
      </c>
      <c r="P1004" t="str">
        <f t="array" ref="P1004">IF(COUNTIF('Cleaned Dataset'!$C$2:$C$1201,C1004)&gt;1,"Yes","No")</f>
        <v>No</v>
      </c>
    </row>
    <row r="1005" spans="1:16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  <c r="O1005" t="str">
        <f t="shared" si="15"/>
        <v>January</v>
      </c>
      <c r="P1005" t="str">
        <f t="array" ref="P1005">IF(COUNTIF('Cleaned Dataset'!$C$2:$C$1201,C1005)&gt;1,"Yes","No")</f>
        <v>No</v>
      </c>
    </row>
    <row r="1006" spans="1:16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  <c r="O1006" t="str">
        <f t="shared" si="15"/>
        <v>June</v>
      </c>
      <c r="P1006" t="str">
        <f t="array" ref="P1006">IF(COUNTIF('Cleaned Dataset'!$C$2:$C$1201,C1006)&gt;1,"Yes","No")</f>
        <v>No</v>
      </c>
    </row>
    <row r="1007" spans="1:16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4320</v>
      </c>
      <c r="M1007" s="2" t="s">
        <v>4282</v>
      </c>
      <c r="N1007" s="2">
        <v>1178.55</v>
      </c>
      <c r="O1007" t="str">
        <f t="shared" si="15"/>
        <v>March</v>
      </c>
      <c r="P1007" t="str">
        <f t="array" ref="P1007">IF(COUNTIF('Cleaned Dataset'!$C$2:$C$1201,C1007)&gt;1,"Yes","No")</f>
        <v>No</v>
      </c>
    </row>
    <row r="1008" spans="1:16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  <c r="O1008" t="str">
        <f t="shared" si="15"/>
        <v>May</v>
      </c>
      <c r="P1008" t="str">
        <f t="array" ref="P1008">IF(COUNTIF('Cleaned Dataset'!$C$2:$C$1201,C1008)&gt;1,"Yes","No")</f>
        <v>No</v>
      </c>
    </row>
    <row r="1009" spans="1:16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  <c r="O1009" t="str">
        <f t="shared" si="15"/>
        <v>March</v>
      </c>
      <c r="P1009" t="str">
        <f t="array" ref="P1009">IF(COUNTIF('Cleaned Dataset'!$C$2:$C$1201,C1009)&gt;1,"Yes","No")</f>
        <v>Yes</v>
      </c>
    </row>
    <row r="1010" spans="1:16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  <c r="O1010" t="str">
        <f t="shared" si="15"/>
        <v>January</v>
      </c>
      <c r="P1010" t="str">
        <f t="array" ref="P1010">IF(COUNTIF('Cleaned Dataset'!$C$2:$C$1201,C1010)&gt;1,"Yes","No")</f>
        <v>No</v>
      </c>
    </row>
    <row r="1011" spans="1:16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  <c r="O1011" t="str">
        <f t="shared" si="15"/>
        <v>September</v>
      </c>
      <c r="P1011" t="str">
        <f t="array" ref="P1011">IF(COUNTIF('Cleaned Dataset'!$C$2:$C$1201,C1011)&gt;1,"Yes","No")</f>
        <v>No</v>
      </c>
    </row>
    <row r="1012" spans="1:16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  <c r="O1012" t="str">
        <f t="shared" si="15"/>
        <v>March</v>
      </c>
      <c r="P1012" t="str">
        <f t="array" ref="P1012">IF(COUNTIF('Cleaned Dataset'!$C$2:$C$1201,C1012)&gt;1,"Yes","No")</f>
        <v>No</v>
      </c>
    </row>
    <row r="1013" spans="1:16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4320</v>
      </c>
      <c r="M1013" s="2" t="s">
        <v>4282</v>
      </c>
      <c r="N1013" s="2">
        <v>956.72</v>
      </c>
      <c r="O1013" t="str">
        <f t="shared" si="15"/>
        <v>December</v>
      </c>
      <c r="P1013" t="str">
        <f t="array" ref="P1013">IF(COUNTIF('Cleaned Dataset'!$C$2:$C$1201,C1013)&gt;1,"Yes","No")</f>
        <v>No</v>
      </c>
    </row>
    <row r="1014" spans="1:16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4320</v>
      </c>
      <c r="M1014" s="2" t="s">
        <v>4281</v>
      </c>
      <c r="N1014" s="2">
        <v>120.2</v>
      </c>
      <c r="O1014" t="str">
        <f t="shared" si="15"/>
        <v>December</v>
      </c>
      <c r="P1014" t="str">
        <f t="array" ref="P1014">IF(COUNTIF('Cleaned Dataset'!$C$2:$C$1201,C1014)&gt;1,"Yes","No")</f>
        <v>No</v>
      </c>
    </row>
    <row r="1015" spans="1:16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  <c r="O1015" t="str">
        <f t="shared" si="15"/>
        <v>April</v>
      </c>
      <c r="P1015" t="str">
        <f t="array" ref="P1015">IF(COUNTIF('Cleaned Dataset'!$C$2:$C$1201,C1015)&gt;1,"Yes","No")</f>
        <v>No</v>
      </c>
    </row>
    <row r="1016" spans="1:16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  <c r="O1016" t="str">
        <f t="shared" si="15"/>
        <v>February</v>
      </c>
      <c r="P1016" t="str">
        <f t="array" ref="P1016">IF(COUNTIF('Cleaned Dataset'!$C$2:$C$1201,C1016)&gt;1,"Yes","No")</f>
        <v>No</v>
      </c>
    </row>
    <row r="1017" spans="1:16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  <c r="O1017" t="str">
        <f t="shared" si="15"/>
        <v>January</v>
      </c>
      <c r="P1017" t="str">
        <f t="array" ref="P1017">IF(COUNTIF('Cleaned Dataset'!$C$2:$C$1201,C1017)&gt;1,"Yes","No")</f>
        <v>No</v>
      </c>
    </row>
    <row r="1018" spans="1:16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  <c r="O1018" t="str">
        <f t="shared" si="15"/>
        <v>December</v>
      </c>
      <c r="P1018" t="str">
        <f t="array" ref="P1018">IF(COUNTIF('Cleaned Dataset'!$C$2:$C$1201,C1018)&gt;1,"Yes","No")</f>
        <v>No</v>
      </c>
    </row>
    <row r="1019" spans="1:16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  <c r="O1019" t="str">
        <f t="shared" si="15"/>
        <v>August</v>
      </c>
      <c r="P1019" t="str">
        <f t="array" ref="P1019">IF(COUNTIF('Cleaned Dataset'!$C$2:$C$1201,C1019)&gt;1,"Yes","No")</f>
        <v>No</v>
      </c>
    </row>
    <row r="1020" spans="1:16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4320</v>
      </c>
      <c r="M1020" s="2" t="s">
        <v>4278</v>
      </c>
      <c r="N1020" s="2">
        <v>547.43999999999994</v>
      </c>
      <c r="O1020" t="str">
        <f t="shared" si="15"/>
        <v>July</v>
      </c>
      <c r="P1020" t="str">
        <f t="array" ref="P1020">IF(COUNTIF('Cleaned Dataset'!$C$2:$C$1201,C1020)&gt;1,"Yes","No")</f>
        <v>No</v>
      </c>
    </row>
    <row r="1021" spans="1:16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  <c r="O1021" t="str">
        <f t="shared" si="15"/>
        <v>April</v>
      </c>
      <c r="P1021" t="str">
        <f t="array" ref="P1021">IF(COUNTIF('Cleaned Dataset'!$C$2:$C$1201,C1021)&gt;1,"Yes","No")</f>
        <v>No</v>
      </c>
    </row>
    <row r="1022" spans="1:16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  <c r="O1022" t="str">
        <f t="shared" si="15"/>
        <v>April</v>
      </c>
      <c r="P1022" t="str">
        <f t="array" ref="P1022">IF(COUNTIF('Cleaned Dataset'!$C$2:$C$1201,C1022)&gt;1,"Yes","No")</f>
        <v>No</v>
      </c>
    </row>
    <row r="1023" spans="1:16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  <c r="O1023" t="str">
        <f t="shared" si="15"/>
        <v>October</v>
      </c>
      <c r="P1023" t="str">
        <f t="array" ref="P1023">IF(COUNTIF('Cleaned Dataset'!$C$2:$C$1201,C1023)&gt;1,"Yes","No")</f>
        <v>No</v>
      </c>
    </row>
    <row r="1024" spans="1:16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  <c r="O1024" t="str">
        <f t="shared" si="15"/>
        <v>February</v>
      </c>
      <c r="P1024" t="str">
        <f t="array" ref="P1024">IF(COUNTIF('Cleaned Dataset'!$C$2:$C$1201,C1024)&gt;1,"Yes","No")</f>
        <v>No</v>
      </c>
    </row>
    <row r="1025" spans="1:16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4320</v>
      </c>
      <c r="M1025" s="2" t="s">
        <v>4279</v>
      </c>
      <c r="N1025" s="2">
        <v>1168.3499999999999</v>
      </c>
      <c r="O1025" t="str">
        <f t="shared" si="15"/>
        <v>September</v>
      </c>
      <c r="P1025" t="str">
        <f t="array" ref="P1025">IF(COUNTIF('Cleaned Dataset'!$C$2:$C$1201,C1025)&gt;1,"Yes","No")</f>
        <v>No</v>
      </c>
    </row>
    <row r="1026" spans="1:16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  <c r="O1026" t="str">
        <f t="shared" si="15"/>
        <v>January</v>
      </c>
      <c r="P1026" t="str">
        <f t="array" ref="P1026">IF(COUNTIF('Cleaned Dataset'!$C$2:$C$1201,C1026)&gt;1,"Yes","No")</f>
        <v>No</v>
      </c>
    </row>
    <row r="1027" spans="1:16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  <c r="O1027" t="str">
        <f t="shared" ref="O1027:O1090" si="16">TEXT(B1027,"mmmm")</f>
        <v>May</v>
      </c>
      <c r="P1027" t="str">
        <f t="array" ref="P1027">IF(COUNTIF('Cleaned Dataset'!$C$2:$C$1201,C1027)&gt;1,"Yes","No")</f>
        <v>No</v>
      </c>
    </row>
    <row r="1028" spans="1:16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  <c r="O1028" t="str">
        <f t="shared" si="16"/>
        <v>May</v>
      </c>
      <c r="P1028" t="str">
        <f t="array" ref="P1028">IF(COUNTIF('Cleaned Dataset'!$C$2:$C$1201,C1028)&gt;1,"Yes","No")</f>
        <v>No</v>
      </c>
    </row>
    <row r="1029" spans="1:16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4320</v>
      </c>
      <c r="M1029" s="2" t="s">
        <v>4282</v>
      </c>
      <c r="N1029" s="2">
        <v>2219.3200000000002</v>
      </c>
      <c r="O1029" t="str">
        <f t="shared" si="16"/>
        <v>May</v>
      </c>
      <c r="P1029" t="str">
        <f t="array" ref="P1029">IF(COUNTIF('Cleaned Dataset'!$C$2:$C$1201,C1029)&gt;1,"Yes","No")</f>
        <v>No</v>
      </c>
    </row>
    <row r="1030" spans="1:16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4320</v>
      </c>
      <c r="M1030" s="2" t="s">
        <v>4278</v>
      </c>
      <c r="N1030" s="2">
        <v>1761.24</v>
      </c>
      <c r="O1030" t="str">
        <f t="shared" si="16"/>
        <v>February</v>
      </c>
      <c r="P1030" t="str">
        <f t="array" ref="P1030">IF(COUNTIF('Cleaned Dataset'!$C$2:$C$1201,C1030)&gt;1,"Yes","No")</f>
        <v>No</v>
      </c>
    </row>
    <row r="1031" spans="1:16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  <c r="O1031" t="str">
        <f t="shared" si="16"/>
        <v>March</v>
      </c>
      <c r="P1031" t="str">
        <f t="array" ref="P1031">IF(COUNTIF('Cleaned Dataset'!$C$2:$C$1201,C1031)&gt;1,"Yes","No")</f>
        <v>No</v>
      </c>
    </row>
    <row r="1032" spans="1:16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  <c r="O1032" t="str">
        <f t="shared" si="16"/>
        <v>October</v>
      </c>
      <c r="P1032" t="str">
        <f t="array" ref="P1032">IF(COUNTIF('Cleaned Dataset'!$C$2:$C$1201,C1032)&gt;1,"Yes","No")</f>
        <v>No</v>
      </c>
    </row>
    <row r="1033" spans="1:16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  <c r="O1033" t="str">
        <f t="shared" si="16"/>
        <v>February</v>
      </c>
      <c r="P1033" t="str">
        <f t="array" ref="P1033">IF(COUNTIF('Cleaned Dataset'!$C$2:$C$1201,C1033)&gt;1,"Yes","No")</f>
        <v>No</v>
      </c>
    </row>
    <row r="1034" spans="1:16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  <c r="O1034" t="str">
        <f t="shared" si="16"/>
        <v>April</v>
      </c>
      <c r="P1034" t="str">
        <f t="array" ref="P1034">IF(COUNTIF('Cleaned Dataset'!$C$2:$C$1201,C1034)&gt;1,"Yes","No")</f>
        <v>No</v>
      </c>
    </row>
    <row r="1035" spans="1:16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  <c r="O1035" t="str">
        <f t="shared" si="16"/>
        <v>December</v>
      </c>
      <c r="P1035" t="str">
        <f t="array" ref="P1035">IF(COUNTIF('Cleaned Dataset'!$C$2:$C$1201,C1035)&gt;1,"Yes","No")</f>
        <v>No</v>
      </c>
    </row>
    <row r="1036" spans="1:16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  <c r="O1036" t="str">
        <f t="shared" si="16"/>
        <v>June</v>
      </c>
      <c r="P1036" t="str">
        <f t="array" ref="P1036">IF(COUNTIF('Cleaned Dataset'!$C$2:$C$1201,C1036)&gt;1,"Yes","No")</f>
        <v>No</v>
      </c>
    </row>
    <row r="1037" spans="1:16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4320</v>
      </c>
      <c r="M1037" s="2" t="s">
        <v>4279</v>
      </c>
      <c r="N1037" s="2">
        <v>2024.44</v>
      </c>
      <c r="O1037" t="str">
        <f t="shared" si="16"/>
        <v>November</v>
      </c>
      <c r="P1037" t="str">
        <f t="array" ref="P1037">IF(COUNTIF('Cleaned Dataset'!$C$2:$C$1201,C1037)&gt;1,"Yes","No")</f>
        <v>No</v>
      </c>
    </row>
    <row r="1038" spans="1:16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  <c r="O1038" t="str">
        <f t="shared" si="16"/>
        <v>May</v>
      </c>
      <c r="P1038" t="str">
        <f t="array" ref="P1038">IF(COUNTIF('Cleaned Dataset'!$C$2:$C$1201,C1038)&gt;1,"Yes","No")</f>
        <v>No</v>
      </c>
    </row>
    <row r="1039" spans="1:16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  <c r="O1039" t="str">
        <f t="shared" si="16"/>
        <v>December</v>
      </c>
      <c r="P1039" t="str">
        <f t="array" ref="P1039">IF(COUNTIF('Cleaned Dataset'!$C$2:$C$1201,C1039)&gt;1,"Yes","No")</f>
        <v>No</v>
      </c>
    </row>
    <row r="1040" spans="1:16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4320</v>
      </c>
      <c r="M1040" s="2" t="s">
        <v>4281</v>
      </c>
      <c r="N1040" s="2">
        <v>1087.5899999999999</v>
      </c>
      <c r="O1040" t="str">
        <f t="shared" si="16"/>
        <v>March</v>
      </c>
      <c r="P1040" t="str">
        <f t="array" ref="P1040">IF(COUNTIF('Cleaned Dataset'!$C$2:$C$1201,C1040)&gt;1,"Yes","No")</f>
        <v>No</v>
      </c>
    </row>
    <row r="1041" spans="1:16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  <c r="O1041" t="str">
        <f t="shared" si="16"/>
        <v>June</v>
      </c>
      <c r="P1041" t="str">
        <f t="array" ref="P1041">IF(COUNTIF('Cleaned Dataset'!$C$2:$C$1201,C1041)&gt;1,"Yes","No")</f>
        <v>No</v>
      </c>
    </row>
    <row r="1042" spans="1:16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  <c r="O1042" t="str">
        <f t="shared" si="16"/>
        <v>November</v>
      </c>
      <c r="P1042" t="str">
        <f t="array" ref="P1042">IF(COUNTIF('Cleaned Dataset'!$C$2:$C$1201,C1042)&gt;1,"Yes","No")</f>
        <v>No</v>
      </c>
    </row>
    <row r="1043" spans="1:16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  <c r="O1043" t="str">
        <f t="shared" si="16"/>
        <v>February</v>
      </c>
      <c r="P1043" t="str">
        <f t="array" ref="P1043">IF(COUNTIF('Cleaned Dataset'!$C$2:$C$1201,C1043)&gt;1,"Yes","No")</f>
        <v>No</v>
      </c>
    </row>
    <row r="1044" spans="1:16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  <c r="O1044" t="str">
        <f t="shared" si="16"/>
        <v>December</v>
      </c>
      <c r="P1044" t="str">
        <f t="array" ref="P1044">IF(COUNTIF('Cleaned Dataset'!$C$2:$C$1201,C1044)&gt;1,"Yes","No")</f>
        <v>No</v>
      </c>
    </row>
    <row r="1045" spans="1:16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4320</v>
      </c>
      <c r="M1045" s="2" t="s">
        <v>4278</v>
      </c>
      <c r="N1045" s="2">
        <v>359.92</v>
      </c>
      <c r="O1045" t="str">
        <f t="shared" si="16"/>
        <v>January</v>
      </c>
      <c r="P1045" t="str">
        <f t="array" ref="P1045">IF(COUNTIF('Cleaned Dataset'!$C$2:$C$1201,C1045)&gt;1,"Yes","No")</f>
        <v>No</v>
      </c>
    </row>
    <row r="1046" spans="1:16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  <c r="O1046" t="str">
        <f t="shared" si="16"/>
        <v>June</v>
      </c>
      <c r="P1046" t="str">
        <f t="array" ref="P1046">IF(COUNTIF('Cleaned Dataset'!$C$2:$C$1201,C1046)&gt;1,"Yes","No")</f>
        <v>No</v>
      </c>
    </row>
    <row r="1047" spans="1:16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4320</v>
      </c>
      <c r="M1047" s="2" t="s">
        <v>4280</v>
      </c>
      <c r="N1047" s="2">
        <v>1582</v>
      </c>
      <c r="O1047" t="str">
        <f t="shared" si="16"/>
        <v>September</v>
      </c>
      <c r="P1047" t="str">
        <f t="array" ref="P1047">IF(COUNTIF('Cleaned Dataset'!$C$2:$C$1201,C1047)&gt;1,"Yes","No")</f>
        <v>No</v>
      </c>
    </row>
    <row r="1048" spans="1:16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  <c r="O1048" t="str">
        <f t="shared" si="16"/>
        <v>October</v>
      </c>
      <c r="P1048" t="str">
        <f t="array" ref="P1048">IF(COUNTIF('Cleaned Dataset'!$C$2:$C$1201,C1048)&gt;1,"Yes","No")</f>
        <v>No</v>
      </c>
    </row>
    <row r="1049" spans="1:16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  <c r="O1049" t="str">
        <f t="shared" si="16"/>
        <v>June</v>
      </c>
      <c r="P1049" t="str">
        <f t="array" ref="P1049">IF(COUNTIF('Cleaned Dataset'!$C$2:$C$1201,C1049)&gt;1,"Yes","No")</f>
        <v>No</v>
      </c>
    </row>
    <row r="1050" spans="1:16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4320</v>
      </c>
      <c r="M1050" s="2" t="s">
        <v>4282</v>
      </c>
      <c r="N1050" s="2">
        <v>294.60000000000002</v>
      </c>
      <c r="O1050" t="str">
        <f t="shared" si="16"/>
        <v>September</v>
      </c>
      <c r="P1050" t="str">
        <f t="array" ref="P1050">IF(COUNTIF('Cleaned Dataset'!$C$2:$C$1201,C1050)&gt;1,"Yes","No")</f>
        <v>No</v>
      </c>
    </row>
    <row r="1051" spans="1:16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4320</v>
      </c>
      <c r="M1051" s="2" t="s">
        <v>4278</v>
      </c>
      <c r="N1051" s="2">
        <v>1959.3</v>
      </c>
      <c r="O1051" t="str">
        <f t="shared" si="16"/>
        <v>July</v>
      </c>
      <c r="P1051" t="str">
        <f t="array" ref="P1051">IF(COUNTIF('Cleaned Dataset'!$C$2:$C$1201,C1051)&gt;1,"Yes","No")</f>
        <v>No</v>
      </c>
    </row>
    <row r="1052" spans="1:16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4320</v>
      </c>
      <c r="M1052" s="2" t="s">
        <v>4278</v>
      </c>
      <c r="N1052" s="2">
        <v>348.5</v>
      </c>
      <c r="O1052" t="str">
        <f t="shared" si="16"/>
        <v>August</v>
      </c>
      <c r="P1052" t="str">
        <f t="array" ref="P1052">IF(COUNTIF('Cleaned Dataset'!$C$2:$C$1201,C1052)&gt;1,"Yes","No")</f>
        <v>Yes</v>
      </c>
    </row>
    <row r="1053" spans="1:16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  <c r="O1053" t="str">
        <f t="shared" si="16"/>
        <v>March</v>
      </c>
      <c r="P1053" t="str">
        <f t="array" ref="P1053">IF(COUNTIF('Cleaned Dataset'!$C$2:$C$1201,C1053)&gt;1,"Yes","No")</f>
        <v>No</v>
      </c>
    </row>
    <row r="1054" spans="1:16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  <c r="O1054" t="str">
        <f t="shared" si="16"/>
        <v>September</v>
      </c>
      <c r="P1054" t="str">
        <f t="array" ref="P1054">IF(COUNTIF('Cleaned Dataset'!$C$2:$C$1201,C1054)&gt;1,"Yes","No")</f>
        <v>No</v>
      </c>
    </row>
    <row r="1055" spans="1:16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  <c r="O1055" t="str">
        <f t="shared" si="16"/>
        <v>September</v>
      </c>
      <c r="P1055" t="str">
        <f t="array" ref="P1055">IF(COUNTIF('Cleaned Dataset'!$C$2:$C$1201,C1055)&gt;1,"Yes","No")</f>
        <v>No</v>
      </c>
    </row>
    <row r="1056" spans="1:16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  <c r="O1056" t="str">
        <f t="shared" si="16"/>
        <v>November</v>
      </c>
      <c r="P1056" t="str">
        <f t="array" ref="P1056">IF(COUNTIF('Cleaned Dataset'!$C$2:$C$1201,C1056)&gt;1,"Yes","No")</f>
        <v>No</v>
      </c>
    </row>
    <row r="1057" spans="1:16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  <c r="O1057" t="str">
        <f t="shared" si="16"/>
        <v>October</v>
      </c>
      <c r="P1057" t="str">
        <f t="array" ref="P1057">IF(COUNTIF('Cleaned Dataset'!$C$2:$C$1201,C1057)&gt;1,"Yes","No")</f>
        <v>No</v>
      </c>
    </row>
    <row r="1058" spans="1:16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  <c r="O1058" t="str">
        <f t="shared" si="16"/>
        <v>June</v>
      </c>
      <c r="P1058" t="str">
        <f t="array" ref="P1058">IF(COUNTIF('Cleaned Dataset'!$C$2:$C$1201,C1058)&gt;1,"Yes","No")</f>
        <v>No</v>
      </c>
    </row>
    <row r="1059" spans="1:16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  <c r="O1059" t="str">
        <f t="shared" si="16"/>
        <v>September</v>
      </c>
      <c r="P1059" t="str">
        <f t="array" ref="P1059">IF(COUNTIF('Cleaned Dataset'!$C$2:$C$1201,C1059)&gt;1,"Yes","No")</f>
        <v>No</v>
      </c>
    </row>
    <row r="1060" spans="1:16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  <c r="O1060" t="str">
        <f t="shared" si="16"/>
        <v>September</v>
      </c>
      <c r="P1060" t="str">
        <f t="array" ref="P1060">IF(COUNTIF('Cleaned Dataset'!$C$2:$C$1201,C1060)&gt;1,"Yes","No")</f>
        <v>No</v>
      </c>
    </row>
    <row r="1061" spans="1:16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  <c r="O1061" t="str">
        <f t="shared" si="16"/>
        <v>September</v>
      </c>
      <c r="P1061" t="str">
        <f t="array" ref="P1061">IF(COUNTIF('Cleaned Dataset'!$C$2:$C$1201,C1061)&gt;1,"Yes","No")</f>
        <v>No</v>
      </c>
    </row>
    <row r="1062" spans="1:16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  <c r="O1062" t="str">
        <f t="shared" si="16"/>
        <v>May</v>
      </c>
      <c r="P1062" t="str">
        <f t="array" ref="P1062">IF(COUNTIF('Cleaned Dataset'!$C$2:$C$1201,C1062)&gt;1,"Yes","No")</f>
        <v>No</v>
      </c>
    </row>
    <row r="1063" spans="1:16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  <c r="O1063" t="str">
        <f t="shared" si="16"/>
        <v>January</v>
      </c>
      <c r="P1063" t="str">
        <f t="array" ref="P1063">IF(COUNTIF('Cleaned Dataset'!$C$2:$C$1201,C1063)&gt;1,"Yes","No")</f>
        <v>No</v>
      </c>
    </row>
    <row r="1064" spans="1:16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4320</v>
      </c>
      <c r="M1064" s="2" t="s">
        <v>4281</v>
      </c>
      <c r="N1064" s="2">
        <v>427.6</v>
      </c>
      <c r="O1064" t="str">
        <f t="shared" si="16"/>
        <v>August</v>
      </c>
      <c r="P1064" t="str">
        <f t="array" ref="P1064">IF(COUNTIF('Cleaned Dataset'!$C$2:$C$1201,C1064)&gt;1,"Yes","No")</f>
        <v>No</v>
      </c>
    </row>
    <row r="1065" spans="1:16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  <c r="O1065" t="str">
        <f t="shared" si="16"/>
        <v>June</v>
      </c>
      <c r="P1065" t="str">
        <f t="array" ref="P1065">IF(COUNTIF('Cleaned Dataset'!$C$2:$C$1201,C1065)&gt;1,"Yes","No")</f>
        <v>No</v>
      </c>
    </row>
    <row r="1066" spans="1:16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  <c r="O1066" t="str">
        <f t="shared" si="16"/>
        <v>February</v>
      </c>
      <c r="P1066" t="str">
        <f t="array" ref="P1066">IF(COUNTIF('Cleaned Dataset'!$C$2:$C$1201,C1066)&gt;1,"Yes","No")</f>
        <v>No</v>
      </c>
    </row>
    <row r="1067" spans="1:16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  <c r="O1067" t="str">
        <f t="shared" si="16"/>
        <v>October</v>
      </c>
      <c r="P1067" t="str">
        <f t="array" ref="P1067">IF(COUNTIF('Cleaned Dataset'!$C$2:$C$1201,C1067)&gt;1,"Yes","No")</f>
        <v>No</v>
      </c>
    </row>
    <row r="1068" spans="1:16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  <c r="O1068" t="str">
        <f t="shared" si="16"/>
        <v>December</v>
      </c>
      <c r="P1068" t="str">
        <f t="array" ref="P1068">IF(COUNTIF('Cleaned Dataset'!$C$2:$C$1201,C1068)&gt;1,"Yes","No")</f>
        <v>No</v>
      </c>
    </row>
    <row r="1069" spans="1:16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4320</v>
      </c>
      <c r="M1069" s="2" t="s">
        <v>4278</v>
      </c>
      <c r="N1069" s="2">
        <v>632.4</v>
      </c>
      <c r="O1069" t="str">
        <f t="shared" si="16"/>
        <v>June</v>
      </c>
      <c r="P1069" t="str">
        <f t="array" ref="P1069">IF(COUNTIF('Cleaned Dataset'!$C$2:$C$1201,C1069)&gt;1,"Yes","No")</f>
        <v>No</v>
      </c>
    </row>
    <row r="1070" spans="1:16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  <c r="O1070" t="str">
        <f t="shared" si="16"/>
        <v>August</v>
      </c>
      <c r="P1070" t="str">
        <f t="array" ref="P1070">IF(COUNTIF('Cleaned Dataset'!$C$2:$C$1201,C1070)&gt;1,"Yes","No")</f>
        <v>No</v>
      </c>
    </row>
    <row r="1071" spans="1:16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4320</v>
      </c>
      <c r="M1071" s="2" t="s">
        <v>4281</v>
      </c>
      <c r="N1071" s="2">
        <v>454.23</v>
      </c>
      <c r="O1071" t="str">
        <f t="shared" si="16"/>
        <v>February</v>
      </c>
      <c r="P1071" t="str">
        <f t="array" ref="P1071">IF(COUNTIF('Cleaned Dataset'!$C$2:$C$1201,C1071)&gt;1,"Yes","No")</f>
        <v>No</v>
      </c>
    </row>
    <row r="1072" spans="1:16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4320</v>
      </c>
      <c r="M1072" s="2" t="s">
        <v>4280</v>
      </c>
      <c r="N1072" s="2">
        <v>1965.16</v>
      </c>
      <c r="O1072" t="str">
        <f t="shared" si="16"/>
        <v>September</v>
      </c>
      <c r="P1072" t="str">
        <f t="array" ref="P1072">IF(COUNTIF('Cleaned Dataset'!$C$2:$C$1201,C1072)&gt;1,"Yes","No")</f>
        <v>No</v>
      </c>
    </row>
    <row r="1073" spans="1:16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4320</v>
      </c>
      <c r="M1073" s="2" t="s">
        <v>4282</v>
      </c>
      <c r="N1073" s="2">
        <v>510.28</v>
      </c>
      <c r="O1073" t="str">
        <f t="shared" si="16"/>
        <v>June</v>
      </c>
      <c r="P1073" t="str">
        <f t="array" ref="P1073">IF(COUNTIF('Cleaned Dataset'!$C$2:$C$1201,C1073)&gt;1,"Yes","No")</f>
        <v>No</v>
      </c>
    </row>
    <row r="1074" spans="1:16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  <c r="O1074" t="str">
        <f t="shared" si="16"/>
        <v>February</v>
      </c>
      <c r="P1074" t="str">
        <f t="array" ref="P1074">IF(COUNTIF('Cleaned Dataset'!$C$2:$C$1201,C1074)&gt;1,"Yes","No")</f>
        <v>No</v>
      </c>
    </row>
    <row r="1075" spans="1:16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4320</v>
      </c>
      <c r="M1075" s="2" t="s">
        <v>4281</v>
      </c>
      <c r="N1075" s="2">
        <v>1448.24</v>
      </c>
      <c r="O1075" t="str">
        <f t="shared" si="16"/>
        <v>October</v>
      </c>
      <c r="P1075" t="str">
        <f t="array" ref="P1075">IF(COUNTIF('Cleaned Dataset'!$C$2:$C$1201,C1075)&gt;1,"Yes","No")</f>
        <v>No</v>
      </c>
    </row>
    <row r="1076" spans="1:16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4320</v>
      </c>
      <c r="M1076" s="2" t="s">
        <v>4282</v>
      </c>
      <c r="N1076" s="2">
        <v>222.73</v>
      </c>
      <c r="O1076" t="str">
        <f t="shared" si="16"/>
        <v>May</v>
      </c>
      <c r="P1076" t="str">
        <f t="array" ref="P1076">IF(COUNTIF('Cleaned Dataset'!$C$2:$C$1201,C1076)&gt;1,"Yes","No")</f>
        <v>No</v>
      </c>
    </row>
    <row r="1077" spans="1:16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  <c r="O1077" t="str">
        <f t="shared" si="16"/>
        <v>August</v>
      </c>
      <c r="P1077" t="str">
        <f t="array" ref="P1077">IF(COUNTIF('Cleaned Dataset'!$C$2:$C$1201,C1077)&gt;1,"Yes","No")</f>
        <v>No</v>
      </c>
    </row>
    <row r="1078" spans="1:16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4320</v>
      </c>
      <c r="M1078" s="2" t="s">
        <v>4279</v>
      </c>
      <c r="N1078" s="2">
        <v>2746.44</v>
      </c>
      <c r="O1078" t="str">
        <f t="shared" si="16"/>
        <v>May</v>
      </c>
      <c r="P1078" t="str">
        <f t="array" ref="P1078">IF(COUNTIF('Cleaned Dataset'!$C$2:$C$1201,C1078)&gt;1,"Yes","No")</f>
        <v>No</v>
      </c>
    </row>
    <row r="1079" spans="1:16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  <c r="O1079" t="str">
        <f t="shared" si="16"/>
        <v>March</v>
      </c>
      <c r="P1079" t="str">
        <f t="array" ref="P1079">IF(COUNTIF('Cleaned Dataset'!$C$2:$C$1201,C1079)&gt;1,"Yes","No")</f>
        <v>No</v>
      </c>
    </row>
    <row r="1080" spans="1:16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  <c r="O1080" t="str">
        <f t="shared" si="16"/>
        <v>March</v>
      </c>
      <c r="P1080" t="str">
        <f t="array" ref="P1080">IF(COUNTIF('Cleaned Dataset'!$C$2:$C$1201,C1080)&gt;1,"Yes","No")</f>
        <v>No</v>
      </c>
    </row>
    <row r="1081" spans="1:16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4320</v>
      </c>
      <c r="M1081" s="2" t="s">
        <v>4280</v>
      </c>
      <c r="N1081" s="2">
        <v>3170</v>
      </c>
      <c r="O1081" t="str">
        <f t="shared" si="16"/>
        <v>June</v>
      </c>
      <c r="P1081" t="str">
        <f t="array" ref="P1081">IF(COUNTIF('Cleaned Dataset'!$C$2:$C$1201,C1081)&gt;1,"Yes","No")</f>
        <v>No</v>
      </c>
    </row>
    <row r="1082" spans="1:16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4320</v>
      </c>
      <c r="M1082" s="2" t="s">
        <v>4279</v>
      </c>
      <c r="N1082" s="2">
        <v>2323.6999999999998</v>
      </c>
      <c r="O1082" t="str">
        <f t="shared" si="16"/>
        <v>January</v>
      </c>
      <c r="P1082" t="str">
        <f t="array" ref="P1082">IF(COUNTIF('Cleaned Dataset'!$C$2:$C$1201,C1082)&gt;1,"Yes","No")</f>
        <v>No</v>
      </c>
    </row>
    <row r="1083" spans="1:16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  <c r="O1083" t="str">
        <f t="shared" si="16"/>
        <v>April</v>
      </c>
      <c r="P1083" t="str">
        <f t="array" ref="P1083">IF(COUNTIF('Cleaned Dataset'!$C$2:$C$1201,C1083)&gt;1,"Yes","No")</f>
        <v>No</v>
      </c>
    </row>
    <row r="1084" spans="1:16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  <c r="O1084" t="str">
        <f t="shared" si="16"/>
        <v>October</v>
      </c>
      <c r="P1084" t="str">
        <f t="array" ref="P1084">IF(COUNTIF('Cleaned Dataset'!$C$2:$C$1201,C1084)&gt;1,"Yes","No")</f>
        <v>No</v>
      </c>
    </row>
    <row r="1085" spans="1:16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  <c r="O1085" t="str">
        <f t="shared" si="16"/>
        <v>July</v>
      </c>
      <c r="P1085" t="str">
        <f t="array" ref="P1085">IF(COUNTIF('Cleaned Dataset'!$C$2:$C$1201,C1085)&gt;1,"Yes","No")</f>
        <v>No</v>
      </c>
    </row>
    <row r="1086" spans="1:16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  <c r="O1086" t="str">
        <f t="shared" si="16"/>
        <v>January</v>
      </c>
      <c r="P1086" t="str">
        <f t="array" ref="P1086">IF(COUNTIF('Cleaned Dataset'!$C$2:$C$1201,C1086)&gt;1,"Yes","No")</f>
        <v>No</v>
      </c>
    </row>
    <row r="1087" spans="1:16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  <c r="O1087" t="str">
        <f t="shared" si="16"/>
        <v>May</v>
      </c>
      <c r="P1087" t="str">
        <f t="array" ref="P1087">IF(COUNTIF('Cleaned Dataset'!$C$2:$C$1201,C1087)&gt;1,"Yes","No")</f>
        <v>No</v>
      </c>
    </row>
    <row r="1088" spans="1:16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  <c r="O1088" t="str">
        <f t="shared" si="16"/>
        <v>December</v>
      </c>
      <c r="P1088" t="str">
        <f t="array" ref="P1088">IF(COUNTIF('Cleaned Dataset'!$C$2:$C$1201,C1088)&gt;1,"Yes","No")</f>
        <v>No</v>
      </c>
    </row>
    <row r="1089" spans="1:16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  <c r="O1089" t="str">
        <f t="shared" si="16"/>
        <v>March</v>
      </c>
      <c r="P1089" t="str">
        <f t="array" ref="P1089">IF(COUNTIF('Cleaned Dataset'!$C$2:$C$1201,C1089)&gt;1,"Yes","No")</f>
        <v>No</v>
      </c>
    </row>
    <row r="1090" spans="1:16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  <c r="O1090" t="str">
        <f t="shared" si="16"/>
        <v>November</v>
      </c>
      <c r="P1090" t="str">
        <f t="array" ref="P1090">IF(COUNTIF('Cleaned Dataset'!$C$2:$C$1201,C1090)&gt;1,"Yes","No")</f>
        <v>No</v>
      </c>
    </row>
    <row r="1091" spans="1:16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4320</v>
      </c>
      <c r="M1091" s="2" t="s">
        <v>4278</v>
      </c>
      <c r="N1091" s="2">
        <v>1199.48</v>
      </c>
      <c r="O1091" t="str">
        <f t="shared" ref="O1091:O1154" si="17">TEXT(B1091,"mmmm")</f>
        <v>March</v>
      </c>
      <c r="P1091" t="str">
        <f t="array" ref="P1091">IF(COUNTIF('Cleaned Dataset'!$C$2:$C$1201,C1091)&gt;1,"Yes","No")</f>
        <v>No</v>
      </c>
    </row>
    <row r="1092" spans="1:16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4320</v>
      </c>
      <c r="M1092" s="2" t="s">
        <v>4278</v>
      </c>
      <c r="N1092" s="2">
        <v>1300.5</v>
      </c>
      <c r="O1092" t="str">
        <f t="shared" si="17"/>
        <v>February</v>
      </c>
      <c r="P1092" t="str">
        <f t="array" ref="P1092">IF(COUNTIF('Cleaned Dataset'!$C$2:$C$1201,C1092)&gt;1,"Yes","No")</f>
        <v>No</v>
      </c>
    </row>
    <row r="1093" spans="1:16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4320</v>
      </c>
      <c r="M1093" s="2" t="s">
        <v>4280</v>
      </c>
      <c r="N1093" s="2">
        <v>628.43999999999994</v>
      </c>
      <c r="O1093" t="str">
        <f t="shared" si="17"/>
        <v>October</v>
      </c>
      <c r="P1093" t="str">
        <f t="array" ref="P1093">IF(COUNTIF('Cleaned Dataset'!$C$2:$C$1201,C1093)&gt;1,"Yes","No")</f>
        <v>No</v>
      </c>
    </row>
    <row r="1094" spans="1:16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  <c r="O1094" t="str">
        <f t="shared" si="17"/>
        <v>August</v>
      </c>
      <c r="P1094" t="str">
        <f t="array" ref="P1094">IF(COUNTIF('Cleaned Dataset'!$C$2:$C$1201,C1094)&gt;1,"Yes","No")</f>
        <v>No</v>
      </c>
    </row>
    <row r="1095" spans="1:16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  <c r="O1095" t="str">
        <f t="shared" si="17"/>
        <v>June</v>
      </c>
      <c r="P1095" t="str">
        <f t="array" ref="P1095">IF(COUNTIF('Cleaned Dataset'!$C$2:$C$1201,C1095)&gt;1,"Yes","No")</f>
        <v>No</v>
      </c>
    </row>
    <row r="1096" spans="1:16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  <c r="O1096" t="str">
        <f t="shared" si="17"/>
        <v>June</v>
      </c>
      <c r="P1096" t="str">
        <f t="array" ref="P1096">IF(COUNTIF('Cleaned Dataset'!$C$2:$C$1201,C1096)&gt;1,"Yes","No")</f>
        <v>No</v>
      </c>
    </row>
    <row r="1097" spans="1:16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  <c r="O1097" t="str">
        <f t="shared" si="17"/>
        <v>April</v>
      </c>
      <c r="P1097" t="str">
        <f t="array" ref="P1097">IF(COUNTIF('Cleaned Dataset'!$C$2:$C$1201,C1097)&gt;1,"Yes","No")</f>
        <v>No</v>
      </c>
    </row>
    <row r="1098" spans="1:16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4320</v>
      </c>
      <c r="M1098" s="2" t="s">
        <v>4281</v>
      </c>
      <c r="N1098" s="2">
        <v>929.84</v>
      </c>
      <c r="O1098" t="str">
        <f t="shared" si="17"/>
        <v>May</v>
      </c>
      <c r="P1098" t="str">
        <f t="array" ref="P1098">IF(COUNTIF('Cleaned Dataset'!$C$2:$C$1201,C1098)&gt;1,"Yes","No")</f>
        <v>No</v>
      </c>
    </row>
    <row r="1099" spans="1:16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  <c r="O1099" t="str">
        <f t="shared" si="17"/>
        <v>December</v>
      </c>
      <c r="P1099" t="str">
        <f t="array" ref="P1099">IF(COUNTIF('Cleaned Dataset'!$C$2:$C$1201,C1099)&gt;1,"Yes","No")</f>
        <v>No</v>
      </c>
    </row>
    <row r="1100" spans="1:16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4320</v>
      </c>
      <c r="M1100" s="2" t="s">
        <v>4280</v>
      </c>
      <c r="N1100" s="2">
        <v>1023.44</v>
      </c>
      <c r="O1100" t="str">
        <f t="shared" si="17"/>
        <v>June</v>
      </c>
      <c r="P1100" t="str">
        <f t="array" ref="P1100">IF(COUNTIF('Cleaned Dataset'!$C$2:$C$1201,C1100)&gt;1,"Yes","No")</f>
        <v>No</v>
      </c>
    </row>
    <row r="1101" spans="1:16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  <c r="O1101" t="str">
        <f t="shared" si="17"/>
        <v>September</v>
      </c>
      <c r="P1101" t="str">
        <f t="array" ref="P1101">IF(COUNTIF('Cleaned Dataset'!$C$2:$C$1201,C1101)&gt;1,"Yes","No")</f>
        <v>No</v>
      </c>
    </row>
    <row r="1102" spans="1:16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  <c r="O1102" t="str">
        <f t="shared" si="17"/>
        <v>August</v>
      </c>
      <c r="P1102" t="str">
        <f t="array" ref="P1102">IF(COUNTIF('Cleaned Dataset'!$C$2:$C$1201,C1102)&gt;1,"Yes","No")</f>
        <v>No</v>
      </c>
    </row>
    <row r="1103" spans="1:16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  <c r="O1103" t="str">
        <f t="shared" si="17"/>
        <v>June</v>
      </c>
      <c r="P1103" t="str">
        <f t="array" ref="P1103">IF(COUNTIF('Cleaned Dataset'!$C$2:$C$1201,C1103)&gt;1,"Yes","No")</f>
        <v>No</v>
      </c>
    </row>
    <row r="1104" spans="1:16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4320</v>
      </c>
      <c r="M1104" s="2" t="s">
        <v>4278</v>
      </c>
      <c r="N1104" s="2">
        <v>1388.68</v>
      </c>
      <c r="O1104" t="str">
        <f t="shared" si="17"/>
        <v>June</v>
      </c>
      <c r="P1104" t="str">
        <f t="array" ref="P1104">IF(COUNTIF('Cleaned Dataset'!$C$2:$C$1201,C1104)&gt;1,"Yes","No")</f>
        <v>Yes</v>
      </c>
    </row>
    <row r="1105" spans="1:16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4320</v>
      </c>
      <c r="M1105" s="2" t="s">
        <v>4282</v>
      </c>
      <c r="N1105" s="2">
        <v>1105.28</v>
      </c>
      <c r="O1105" t="str">
        <f t="shared" si="17"/>
        <v>April</v>
      </c>
      <c r="P1105" t="str">
        <f t="array" ref="P1105">IF(COUNTIF('Cleaned Dataset'!$C$2:$C$1201,C1105)&gt;1,"Yes","No")</f>
        <v>No</v>
      </c>
    </row>
    <row r="1106" spans="1:16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4320</v>
      </c>
      <c r="M1106" s="2" t="s">
        <v>4278</v>
      </c>
      <c r="N1106" s="2">
        <v>1259.04</v>
      </c>
      <c r="O1106" t="str">
        <f t="shared" si="17"/>
        <v>July</v>
      </c>
      <c r="P1106" t="str">
        <f t="array" ref="P1106">IF(COUNTIF('Cleaned Dataset'!$C$2:$C$1201,C1106)&gt;1,"Yes","No")</f>
        <v>No</v>
      </c>
    </row>
    <row r="1107" spans="1:16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  <c r="O1107" t="str">
        <f t="shared" si="17"/>
        <v>January</v>
      </c>
      <c r="P1107" t="str">
        <f t="array" ref="P1107">IF(COUNTIF('Cleaned Dataset'!$C$2:$C$1201,C1107)&gt;1,"Yes","No")</f>
        <v>No</v>
      </c>
    </row>
    <row r="1108" spans="1:16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  <c r="O1108" t="str">
        <f t="shared" si="17"/>
        <v>March</v>
      </c>
      <c r="P1108" t="str">
        <f t="array" ref="P1108">IF(COUNTIF('Cleaned Dataset'!$C$2:$C$1201,C1108)&gt;1,"Yes","No")</f>
        <v>No</v>
      </c>
    </row>
    <row r="1109" spans="1:16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  <c r="O1109" t="str">
        <f t="shared" si="17"/>
        <v>June</v>
      </c>
      <c r="P1109" t="str">
        <f t="array" ref="P1109">IF(COUNTIF('Cleaned Dataset'!$C$2:$C$1201,C1109)&gt;1,"Yes","No")</f>
        <v>No</v>
      </c>
    </row>
    <row r="1110" spans="1:16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  <c r="O1110" t="str">
        <f t="shared" si="17"/>
        <v>March</v>
      </c>
      <c r="P1110" t="str">
        <f t="array" ref="P1110">IF(COUNTIF('Cleaned Dataset'!$C$2:$C$1201,C1110)&gt;1,"Yes","No")</f>
        <v>No</v>
      </c>
    </row>
    <row r="1111" spans="1:16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  <c r="O1111" t="str">
        <f t="shared" si="17"/>
        <v>April</v>
      </c>
      <c r="P1111" t="str">
        <f t="array" ref="P1111">IF(COUNTIF('Cleaned Dataset'!$C$2:$C$1201,C1111)&gt;1,"Yes","No")</f>
        <v>No</v>
      </c>
    </row>
    <row r="1112" spans="1:16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  <c r="O1112" t="str">
        <f t="shared" si="17"/>
        <v>February</v>
      </c>
      <c r="P1112" t="str">
        <f t="array" ref="P1112">IF(COUNTIF('Cleaned Dataset'!$C$2:$C$1201,C1112)&gt;1,"Yes","No")</f>
        <v>No</v>
      </c>
    </row>
    <row r="1113" spans="1:16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  <c r="O1113" t="str">
        <f t="shared" si="17"/>
        <v>May</v>
      </c>
      <c r="P1113" t="str">
        <f t="array" ref="P1113">IF(COUNTIF('Cleaned Dataset'!$C$2:$C$1201,C1113)&gt;1,"Yes","No")</f>
        <v>No</v>
      </c>
    </row>
    <row r="1114" spans="1:16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  <c r="O1114" t="str">
        <f t="shared" si="17"/>
        <v>October</v>
      </c>
      <c r="P1114" t="str">
        <f t="array" ref="P1114">IF(COUNTIF('Cleaned Dataset'!$C$2:$C$1201,C1114)&gt;1,"Yes","No")</f>
        <v>No</v>
      </c>
    </row>
    <row r="1115" spans="1:16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4320</v>
      </c>
      <c r="M1115" s="2" t="s">
        <v>4282</v>
      </c>
      <c r="N1115" s="2">
        <v>839.96</v>
      </c>
      <c r="O1115" t="str">
        <f t="shared" si="17"/>
        <v>March</v>
      </c>
      <c r="P1115" t="str">
        <f t="array" ref="P1115">IF(COUNTIF('Cleaned Dataset'!$C$2:$C$1201,C1115)&gt;1,"Yes","No")</f>
        <v>No</v>
      </c>
    </row>
    <row r="1116" spans="1:16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4320</v>
      </c>
      <c r="M1116" s="2" t="s">
        <v>4282</v>
      </c>
      <c r="N1116" s="2">
        <v>1979.64</v>
      </c>
      <c r="O1116" t="str">
        <f t="shared" si="17"/>
        <v>March</v>
      </c>
      <c r="P1116" t="str">
        <f t="array" ref="P1116">IF(COUNTIF('Cleaned Dataset'!$C$2:$C$1201,C1116)&gt;1,"Yes","No")</f>
        <v>No</v>
      </c>
    </row>
    <row r="1117" spans="1:16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4320</v>
      </c>
      <c r="M1117" s="2" t="s">
        <v>4282</v>
      </c>
      <c r="N1117" s="2">
        <v>672.64</v>
      </c>
      <c r="O1117" t="str">
        <f t="shared" si="17"/>
        <v>June</v>
      </c>
      <c r="P1117" t="str">
        <f t="array" ref="P1117">IF(COUNTIF('Cleaned Dataset'!$C$2:$C$1201,C1117)&gt;1,"Yes","No")</f>
        <v>No</v>
      </c>
    </row>
    <row r="1118" spans="1:16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  <c r="O1118" t="str">
        <f t="shared" si="17"/>
        <v>October</v>
      </c>
      <c r="P1118" t="str">
        <f t="array" ref="P1118">IF(COUNTIF('Cleaned Dataset'!$C$2:$C$1201,C1118)&gt;1,"Yes","No")</f>
        <v>No</v>
      </c>
    </row>
    <row r="1119" spans="1:16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  <c r="O1119" t="str">
        <f t="shared" si="17"/>
        <v>May</v>
      </c>
      <c r="P1119" t="str">
        <f t="array" ref="P1119">IF(COUNTIF('Cleaned Dataset'!$C$2:$C$1201,C1119)&gt;1,"Yes","No")</f>
        <v>No</v>
      </c>
    </row>
    <row r="1120" spans="1:16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4320</v>
      </c>
      <c r="M1120" s="2" t="s">
        <v>4280</v>
      </c>
      <c r="N1120" s="2">
        <v>754.43999999999994</v>
      </c>
      <c r="O1120" t="str">
        <f t="shared" si="17"/>
        <v>May</v>
      </c>
      <c r="P1120" t="str">
        <f t="array" ref="P1120">IF(COUNTIF('Cleaned Dataset'!$C$2:$C$1201,C1120)&gt;1,"Yes","No")</f>
        <v>No</v>
      </c>
    </row>
    <row r="1121" spans="1:16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  <c r="O1121" t="str">
        <f t="shared" si="17"/>
        <v>November</v>
      </c>
      <c r="P1121" t="str">
        <f t="array" ref="P1121">IF(COUNTIF('Cleaned Dataset'!$C$2:$C$1201,C1121)&gt;1,"Yes","No")</f>
        <v>No</v>
      </c>
    </row>
    <row r="1122" spans="1:16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4320</v>
      </c>
      <c r="M1122" s="2" t="s">
        <v>4281</v>
      </c>
      <c r="N1122" s="2">
        <v>195.86</v>
      </c>
      <c r="O1122" t="str">
        <f t="shared" si="17"/>
        <v>May</v>
      </c>
      <c r="P1122" t="str">
        <f t="array" ref="P1122">IF(COUNTIF('Cleaned Dataset'!$C$2:$C$1201,C1122)&gt;1,"Yes","No")</f>
        <v>No</v>
      </c>
    </row>
    <row r="1123" spans="1:16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  <c r="O1123" t="str">
        <f t="shared" si="17"/>
        <v>May</v>
      </c>
      <c r="P1123" t="str">
        <f t="array" ref="P1123">IF(COUNTIF('Cleaned Dataset'!$C$2:$C$1201,C1123)&gt;1,"Yes","No")</f>
        <v>No</v>
      </c>
    </row>
    <row r="1124" spans="1:16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4320</v>
      </c>
      <c r="M1124" s="2" t="s">
        <v>4281</v>
      </c>
      <c r="N1124" s="2">
        <v>3390.95</v>
      </c>
      <c r="O1124" t="str">
        <f t="shared" si="17"/>
        <v>June</v>
      </c>
      <c r="P1124" t="str">
        <f t="array" ref="P1124">IF(COUNTIF('Cleaned Dataset'!$C$2:$C$1201,C1124)&gt;1,"Yes","No")</f>
        <v>Yes</v>
      </c>
    </row>
    <row r="1125" spans="1:16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  <c r="O1125" t="str">
        <f t="shared" si="17"/>
        <v>April</v>
      </c>
      <c r="P1125" t="str">
        <f t="array" ref="P1125">IF(COUNTIF('Cleaned Dataset'!$C$2:$C$1201,C1125)&gt;1,"Yes","No")</f>
        <v>No</v>
      </c>
    </row>
    <row r="1126" spans="1:16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4320</v>
      </c>
      <c r="M1126" s="2" t="s">
        <v>4278</v>
      </c>
      <c r="N1126" s="2">
        <v>2307.48</v>
      </c>
      <c r="O1126" t="str">
        <f t="shared" si="17"/>
        <v>May</v>
      </c>
      <c r="P1126" t="str">
        <f t="array" ref="P1126">IF(COUNTIF('Cleaned Dataset'!$C$2:$C$1201,C1126)&gt;1,"Yes","No")</f>
        <v>No</v>
      </c>
    </row>
    <row r="1127" spans="1:16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  <c r="O1127" t="str">
        <f t="shared" si="17"/>
        <v>October</v>
      </c>
      <c r="P1127" t="str">
        <f t="array" ref="P1127">IF(COUNTIF('Cleaned Dataset'!$C$2:$C$1201,C1127)&gt;1,"Yes","No")</f>
        <v>No</v>
      </c>
    </row>
    <row r="1128" spans="1:16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  <c r="O1128" t="str">
        <f t="shared" si="17"/>
        <v>July</v>
      </c>
      <c r="P1128" t="str">
        <f t="array" ref="P1128">IF(COUNTIF('Cleaned Dataset'!$C$2:$C$1201,C1128)&gt;1,"Yes","No")</f>
        <v>No</v>
      </c>
    </row>
    <row r="1129" spans="1:16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  <c r="O1129" t="str">
        <f t="shared" si="17"/>
        <v>March</v>
      </c>
      <c r="P1129" t="str">
        <f t="array" ref="P1129">IF(COUNTIF('Cleaned Dataset'!$C$2:$C$1201,C1129)&gt;1,"Yes","No")</f>
        <v>No</v>
      </c>
    </row>
    <row r="1130" spans="1:16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  <c r="O1130" t="str">
        <f t="shared" si="17"/>
        <v>August</v>
      </c>
      <c r="P1130" t="str">
        <f t="array" ref="P1130">IF(COUNTIF('Cleaned Dataset'!$C$2:$C$1201,C1130)&gt;1,"Yes","No")</f>
        <v>No</v>
      </c>
    </row>
    <row r="1131" spans="1:16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  <c r="O1131" t="str">
        <f t="shared" si="17"/>
        <v>June</v>
      </c>
      <c r="P1131" t="str">
        <f t="array" ref="P1131">IF(COUNTIF('Cleaned Dataset'!$C$2:$C$1201,C1131)&gt;1,"Yes","No")</f>
        <v>No</v>
      </c>
    </row>
    <row r="1132" spans="1:16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  <c r="O1132" t="str">
        <f t="shared" si="17"/>
        <v>February</v>
      </c>
      <c r="P1132" t="str">
        <f t="array" ref="P1132">IF(COUNTIF('Cleaned Dataset'!$C$2:$C$1201,C1132)&gt;1,"Yes","No")</f>
        <v>No</v>
      </c>
    </row>
    <row r="1133" spans="1:16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  <c r="O1133" t="str">
        <f t="shared" si="17"/>
        <v>July</v>
      </c>
      <c r="P1133" t="str">
        <f t="array" ref="P1133">IF(COUNTIF('Cleaned Dataset'!$C$2:$C$1201,C1133)&gt;1,"Yes","No")</f>
        <v>No</v>
      </c>
    </row>
    <row r="1134" spans="1:16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  <c r="O1134" t="str">
        <f t="shared" si="17"/>
        <v>December</v>
      </c>
      <c r="P1134" t="str">
        <f t="array" ref="P1134">IF(COUNTIF('Cleaned Dataset'!$C$2:$C$1201,C1134)&gt;1,"Yes","No")</f>
        <v>No</v>
      </c>
    </row>
    <row r="1135" spans="1:16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  <c r="O1135" t="str">
        <f t="shared" si="17"/>
        <v>April</v>
      </c>
      <c r="P1135" t="str">
        <f t="array" ref="P1135">IF(COUNTIF('Cleaned Dataset'!$C$2:$C$1201,C1135)&gt;1,"Yes","No")</f>
        <v>No</v>
      </c>
    </row>
    <row r="1136" spans="1:16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  <c r="O1136" t="str">
        <f t="shared" si="17"/>
        <v>June</v>
      </c>
      <c r="P1136" t="str">
        <f t="array" ref="P1136">IF(COUNTIF('Cleaned Dataset'!$C$2:$C$1201,C1136)&gt;1,"Yes","No")</f>
        <v>No</v>
      </c>
    </row>
    <row r="1137" spans="1:16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  <c r="O1137" t="str">
        <f t="shared" si="17"/>
        <v>December</v>
      </c>
      <c r="P1137" t="str">
        <f t="array" ref="P1137">IF(COUNTIF('Cleaned Dataset'!$C$2:$C$1201,C1137)&gt;1,"Yes","No")</f>
        <v>No</v>
      </c>
    </row>
    <row r="1138" spans="1:16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  <c r="O1138" t="str">
        <f t="shared" si="17"/>
        <v>September</v>
      </c>
      <c r="P1138" t="str">
        <f t="array" ref="P1138">IF(COUNTIF('Cleaned Dataset'!$C$2:$C$1201,C1138)&gt;1,"Yes","No")</f>
        <v>No</v>
      </c>
    </row>
    <row r="1139" spans="1:16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  <c r="O1139" t="str">
        <f t="shared" si="17"/>
        <v>July</v>
      </c>
      <c r="P1139" t="str">
        <f t="array" ref="P1139">IF(COUNTIF('Cleaned Dataset'!$C$2:$C$1201,C1139)&gt;1,"Yes","No")</f>
        <v>No</v>
      </c>
    </row>
    <row r="1140" spans="1:16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4320</v>
      </c>
      <c r="M1140" s="2" t="s">
        <v>4278</v>
      </c>
      <c r="N1140" s="2">
        <v>1177.6400000000001</v>
      </c>
      <c r="O1140" t="str">
        <f t="shared" si="17"/>
        <v>December</v>
      </c>
      <c r="P1140" t="str">
        <f t="array" ref="P1140">IF(COUNTIF('Cleaned Dataset'!$C$2:$C$1201,C1140)&gt;1,"Yes","No")</f>
        <v>No</v>
      </c>
    </row>
    <row r="1141" spans="1:16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  <c r="O1141" t="str">
        <f t="shared" si="17"/>
        <v>March</v>
      </c>
      <c r="P1141" t="str">
        <f t="array" ref="P1141">IF(COUNTIF('Cleaned Dataset'!$C$2:$C$1201,C1141)&gt;1,"Yes","No")</f>
        <v>Yes</v>
      </c>
    </row>
    <row r="1142" spans="1:16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4320</v>
      </c>
      <c r="M1142" s="2" t="s">
        <v>4279</v>
      </c>
      <c r="N1142" s="2">
        <v>1105.6600000000001</v>
      </c>
      <c r="O1142" t="str">
        <f t="shared" si="17"/>
        <v>June</v>
      </c>
      <c r="P1142" t="str">
        <f t="array" ref="P1142">IF(COUNTIF('Cleaned Dataset'!$C$2:$C$1201,C1142)&gt;1,"Yes","No")</f>
        <v>No</v>
      </c>
    </row>
    <row r="1143" spans="1:16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4320</v>
      </c>
      <c r="M1143" s="2" t="s">
        <v>4280</v>
      </c>
      <c r="N1143" s="2">
        <v>1495.98</v>
      </c>
      <c r="O1143" t="str">
        <f t="shared" si="17"/>
        <v>February</v>
      </c>
      <c r="P1143" t="str">
        <f t="array" ref="P1143">IF(COUNTIF('Cleaned Dataset'!$C$2:$C$1201,C1143)&gt;1,"Yes","No")</f>
        <v>No</v>
      </c>
    </row>
    <row r="1144" spans="1:16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4320</v>
      </c>
      <c r="M1144" s="2" t="s">
        <v>4280</v>
      </c>
      <c r="N1144" s="2">
        <v>2780.4</v>
      </c>
      <c r="O1144" t="str">
        <f t="shared" si="17"/>
        <v>August</v>
      </c>
      <c r="P1144" t="str">
        <f t="array" ref="P1144">IF(COUNTIF('Cleaned Dataset'!$C$2:$C$1201,C1144)&gt;1,"Yes","No")</f>
        <v>No</v>
      </c>
    </row>
    <row r="1145" spans="1:16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4320</v>
      </c>
      <c r="M1145" s="2" t="s">
        <v>4280</v>
      </c>
      <c r="N1145" s="2">
        <v>381.61</v>
      </c>
      <c r="O1145" t="str">
        <f t="shared" si="17"/>
        <v>April</v>
      </c>
      <c r="P1145" t="str">
        <f t="array" ref="P1145">IF(COUNTIF('Cleaned Dataset'!$C$2:$C$1201,C1145)&gt;1,"Yes","No")</f>
        <v>No</v>
      </c>
    </row>
    <row r="1146" spans="1:16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4320</v>
      </c>
      <c r="M1146" s="2" t="s">
        <v>4281</v>
      </c>
      <c r="N1146" s="2">
        <v>2539.6999999999998</v>
      </c>
      <c r="O1146" t="str">
        <f t="shared" si="17"/>
        <v>February</v>
      </c>
      <c r="P1146" t="str">
        <f t="array" ref="P1146">IF(COUNTIF('Cleaned Dataset'!$C$2:$C$1201,C1146)&gt;1,"Yes","No")</f>
        <v>No</v>
      </c>
    </row>
    <row r="1147" spans="1:16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  <c r="O1147" t="str">
        <f t="shared" si="17"/>
        <v>May</v>
      </c>
      <c r="P1147" t="str">
        <f t="array" ref="P1147">IF(COUNTIF('Cleaned Dataset'!$C$2:$C$1201,C1147)&gt;1,"Yes","No")</f>
        <v>No</v>
      </c>
    </row>
    <row r="1148" spans="1:16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  <c r="O1148" t="str">
        <f t="shared" si="17"/>
        <v>October</v>
      </c>
      <c r="P1148" t="str">
        <f t="array" ref="P1148">IF(COUNTIF('Cleaned Dataset'!$C$2:$C$1201,C1148)&gt;1,"Yes","No")</f>
        <v>No</v>
      </c>
    </row>
    <row r="1149" spans="1:16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  <c r="O1149" t="str">
        <f t="shared" si="17"/>
        <v>January</v>
      </c>
      <c r="P1149" t="str">
        <f t="array" ref="P1149">IF(COUNTIF('Cleaned Dataset'!$C$2:$C$1201,C1149)&gt;1,"Yes","No")</f>
        <v>No</v>
      </c>
    </row>
    <row r="1150" spans="1:16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  <c r="O1150" t="str">
        <f t="shared" si="17"/>
        <v>June</v>
      </c>
      <c r="P1150" t="str">
        <f t="array" ref="P1150">IF(COUNTIF('Cleaned Dataset'!$C$2:$C$1201,C1150)&gt;1,"Yes","No")</f>
        <v>No</v>
      </c>
    </row>
    <row r="1151" spans="1:16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  <c r="O1151" t="str">
        <f t="shared" si="17"/>
        <v>July</v>
      </c>
      <c r="P1151" t="str">
        <f t="array" ref="P1151">IF(COUNTIF('Cleaned Dataset'!$C$2:$C$1201,C1151)&gt;1,"Yes","No")</f>
        <v>No</v>
      </c>
    </row>
    <row r="1152" spans="1:16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  <c r="O1152" t="str">
        <f t="shared" si="17"/>
        <v>February</v>
      </c>
      <c r="P1152" t="str">
        <f t="array" ref="P1152">IF(COUNTIF('Cleaned Dataset'!$C$2:$C$1201,C1152)&gt;1,"Yes","No")</f>
        <v>No</v>
      </c>
    </row>
    <row r="1153" spans="1:16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4320</v>
      </c>
      <c r="M1153" s="2" t="s">
        <v>4282</v>
      </c>
      <c r="N1153" s="2">
        <v>1216.08</v>
      </c>
      <c r="O1153" t="str">
        <f t="shared" si="17"/>
        <v>January</v>
      </c>
      <c r="P1153" t="str">
        <f t="array" ref="P1153">IF(COUNTIF('Cleaned Dataset'!$C$2:$C$1201,C1153)&gt;1,"Yes","No")</f>
        <v>No</v>
      </c>
    </row>
    <row r="1154" spans="1:16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4320</v>
      </c>
      <c r="M1154" s="2" t="s">
        <v>4279</v>
      </c>
      <c r="N1154" s="2">
        <v>688.36</v>
      </c>
      <c r="O1154" t="str">
        <f t="shared" si="17"/>
        <v>November</v>
      </c>
      <c r="P1154" t="str">
        <f t="array" ref="P1154">IF(COUNTIF('Cleaned Dataset'!$C$2:$C$1201,C1154)&gt;1,"Yes","No")</f>
        <v>No</v>
      </c>
    </row>
    <row r="1155" spans="1:16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4320</v>
      </c>
      <c r="M1155" s="2" t="s">
        <v>4278</v>
      </c>
      <c r="N1155" s="2">
        <v>2786.84</v>
      </c>
      <c r="O1155" t="str">
        <f t="shared" ref="O1155:O1201" si="18">TEXT(B1155,"mmmm")</f>
        <v>December</v>
      </c>
      <c r="P1155" t="str">
        <f t="array" ref="P1155">IF(COUNTIF('Cleaned Dataset'!$C$2:$C$1201,C1155)&gt;1,"Yes","No")</f>
        <v>No</v>
      </c>
    </row>
    <row r="1156" spans="1:16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  <c r="O1156" t="str">
        <f t="shared" si="18"/>
        <v>June</v>
      </c>
      <c r="P1156" t="str">
        <f t="array" ref="P1156">IF(COUNTIF('Cleaned Dataset'!$C$2:$C$1201,C1156)&gt;1,"Yes","No")</f>
        <v>No</v>
      </c>
    </row>
    <row r="1157" spans="1:16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  <c r="O1157" t="str">
        <f t="shared" si="18"/>
        <v>August</v>
      </c>
      <c r="P1157" t="str">
        <f t="array" ref="P1157">IF(COUNTIF('Cleaned Dataset'!$C$2:$C$1201,C1157)&gt;1,"Yes","No")</f>
        <v>No</v>
      </c>
    </row>
    <row r="1158" spans="1:16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4320</v>
      </c>
      <c r="M1158" s="2" t="s">
        <v>4279</v>
      </c>
      <c r="N1158" s="2">
        <v>2763.12</v>
      </c>
      <c r="O1158" t="str">
        <f t="shared" si="18"/>
        <v>July</v>
      </c>
      <c r="P1158" t="str">
        <f t="array" ref="P1158">IF(COUNTIF('Cleaned Dataset'!$C$2:$C$1201,C1158)&gt;1,"Yes","No")</f>
        <v>No</v>
      </c>
    </row>
    <row r="1159" spans="1:16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  <c r="O1159" t="str">
        <f t="shared" si="18"/>
        <v>May</v>
      </c>
      <c r="P1159" t="str">
        <f t="array" ref="P1159">IF(COUNTIF('Cleaned Dataset'!$C$2:$C$1201,C1159)&gt;1,"Yes","No")</f>
        <v>No</v>
      </c>
    </row>
    <row r="1160" spans="1:16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  <c r="O1160" t="str">
        <f t="shared" si="18"/>
        <v>April</v>
      </c>
      <c r="P1160" t="str">
        <f t="array" ref="P1160">IF(COUNTIF('Cleaned Dataset'!$C$2:$C$1201,C1160)&gt;1,"Yes","No")</f>
        <v>No</v>
      </c>
    </row>
    <row r="1161" spans="1:16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4320</v>
      </c>
      <c r="M1161" s="2" t="s">
        <v>4278</v>
      </c>
      <c r="N1161" s="2">
        <v>1866.8</v>
      </c>
      <c r="O1161" t="str">
        <f t="shared" si="18"/>
        <v>February</v>
      </c>
      <c r="P1161" t="str">
        <f t="array" ref="P1161">IF(COUNTIF('Cleaned Dataset'!$C$2:$C$1201,C1161)&gt;1,"Yes","No")</f>
        <v>No</v>
      </c>
    </row>
    <row r="1162" spans="1:16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  <c r="O1162" t="str">
        <f t="shared" si="18"/>
        <v>September</v>
      </c>
      <c r="P1162" t="str">
        <f t="array" ref="P1162">IF(COUNTIF('Cleaned Dataset'!$C$2:$C$1201,C1162)&gt;1,"Yes","No")</f>
        <v>No</v>
      </c>
    </row>
    <row r="1163" spans="1:16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  <c r="O1163" t="str">
        <f t="shared" si="18"/>
        <v>October</v>
      </c>
      <c r="P1163" t="str">
        <f t="array" ref="P1163">IF(COUNTIF('Cleaned Dataset'!$C$2:$C$1201,C1163)&gt;1,"Yes","No")</f>
        <v>No</v>
      </c>
    </row>
    <row r="1164" spans="1:16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  <c r="O1164" t="str">
        <f t="shared" si="18"/>
        <v>March</v>
      </c>
      <c r="P1164" t="str">
        <f t="array" ref="P1164">IF(COUNTIF('Cleaned Dataset'!$C$2:$C$1201,C1164)&gt;1,"Yes","No")</f>
        <v>No</v>
      </c>
    </row>
    <row r="1165" spans="1:16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  <c r="O1165" t="str">
        <f t="shared" si="18"/>
        <v>June</v>
      </c>
      <c r="P1165" t="str">
        <f t="array" ref="P1165">IF(COUNTIF('Cleaned Dataset'!$C$2:$C$1201,C1165)&gt;1,"Yes","No")</f>
        <v>No</v>
      </c>
    </row>
    <row r="1166" spans="1:16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  <c r="O1166" t="str">
        <f t="shared" si="18"/>
        <v>January</v>
      </c>
      <c r="P1166" t="str">
        <f t="array" ref="P1166">IF(COUNTIF('Cleaned Dataset'!$C$2:$C$1201,C1166)&gt;1,"Yes","No")</f>
        <v>No</v>
      </c>
    </row>
    <row r="1167" spans="1:16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4320</v>
      </c>
      <c r="M1167" s="2" t="s">
        <v>4282</v>
      </c>
      <c r="N1167" s="2">
        <v>671.37</v>
      </c>
      <c r="O1167" t="str">
        <f t="shared" si="18"/>
        <v>July</v>
      </c>
      <c r="P1167" t="str">
        <f t="array" ref="P1167">IF(COUNTIF('Cleaned Dataset'!$C$2:$C$1201,C1167)&gt;1,"Yes","No")</f>
        <v>No</v>
      </c>
    </row>
    <row r="1168" spans="1:16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  <c r="O1168" t="str">
        <f t="shared" si="18"/>
        <v>July</v>
      </c>
      <c r="P1168" t="str">
        <f t="array" ref="P1168">IF(COUNTIF('Cleaned Dataset'!$C$2:$C$1201,C1168)&gt;1,"Yes","No")</f>
        <v>No</v>
      </c>
    </row>
    <row r="1169" spans="1:16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  <c r="O1169" t="str">
        <f t="shared" si="18"/>
        <v>October</v>
      </c>
      <c r="P1169" t="str">
        <f t="array" ref="P1169">IF(COUNTIF('Cleaned Dataset'!$C$2:$C$1201,C1169)&gt;1,"Yes","No")</f>
        <v>No</v>
      </c>
    </row>
    <row r="1170" spans="1:16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  <c r="O1170" t="str">
        <f t="shared" si="18"/>
        <v>April</v>
      </c>
      <c r="P1170" t="str">
        <f t="array" ref="P1170">IF(COUNTIF('Cleaned Dataset'!$C$2:$C$1201,C1170)&gt;1,"Yes","No")</f>
        <v>No</v>
      </c>
    </row>
    <row r="1171" spans="1:16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  <c r="O1171" t="str">
        <f t="shared" si="18"/>
        <v>December</v>
      </c>
      <c r="P1171" t="str">
        <f t="array" ref="P1171">IF(COUNTIF('Cleaned Dataset'!$C$2:$C$1201,C1171)&gt;1,"Yes","No")</f>
        <v>No</v>
      </c>
    </row>
    <row r="1172" spans="1:16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  <c r="O1172" t="str">
        <f t="shared" si="18"/>
        <v>August</v>
      </c>
      <c r="P1172" t="str">
        <f t="array" ref="P1172">IF(COUNTIF('Cleaned Dataset'!$C$2:$C$1201,C1172)&gt;1,"Yes","No")</f>
        <v>No</v>
      </c>
    </row>
    <row r="1173" spans="1:16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  <c r="O1173" t="str">
        <f t="shared" si="18"/>
        <v>August</v>
      </c>
      <c r="P1173" t="str">
        <f t="array" ref="P1173">IF(COUNTIF('Cleaned Dataset'!$C$2:$C$1201,C1173)&gt;1,"Yes","No")</f>
        <v>No</v>
      </c>
    </row>
    <row r="1174" spans="1:16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4320</v>
      </c>
      <c r="M1174" s="2" t="s">
        <v>4278</v>
      </c>
      <c r="N1174" s="2">
        <v>395.88</v>
      </c>
      <c r="O1174" t="str">
        <f t="shared" si="18"/>
        <v>February</v>
      </c>
      <c r="P1174" t="str">
        <f t="array" ref="P1174">IF(COUNTIF('Cleaned Dataset'!$C$2:$C$1201,C1174)&gt;1,"Yes","No")</f>
        <v>No</v>
      </c>
    </row>
    <row r="1175" spans="1:16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  <c r="O1175" t="str">
        <f t="shared" si="18"/>
        <v>October</v>
      </c>
      <c r="P1175" t="str">
        <f t="array" ref="P1175">IF(COUNTIF('Cleaned Dataset'!$C$2:$C$1201,C1175)&gt;1,"Yes","No")</f>
        <v>No</v>
      </c>
    </row>
    <row r="1176" spans="1:16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  <c r="O1176" t="str">
        <f t="shared" si="18"/>
        <v>November</v>
      </c>
      <c r="P1176" t="str">
        <f t="array" ref="P1176">IF(COUNTIF('Cleaned Dataset'!$C$2:$C$1201,C1176)&gt;1,"Yes","No")</f>
        <v>No</v>
      </c>
    </row>
    <row r="1177" spans="1:16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  <c r="O1177" t="str">
        <f t="shared" si="18"/>
        <v>September</v>
      </c>
      <c r="P1177" t="str">
        <f t="array" ref="P1177">IF(COUNTIF('Cleaned Dataset'!$C$2:$C$1201,C1177)&gt;1,"Yes","No")</f>
        <v>No</v>
      </c>
    </row>
    <row r="1178" spans="1:16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  <c r="O1178" t="str">
        <f t="shared" si="18"/>
        <v>August</v>
      </c>
      <c r="P1178" t="str">
        <f t="array" ref="P1178">IF(COUNTIF('Cleaned Dataset'!$C$2:$C$1201,C1178)&gt;1,"Yes","No")</f>
        <v>No</v>
      </c>
    </row>
    <row r="1179" spans="1:16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  <c r="O1179" t="str">
        <f t="shared" si="18"/>
        <v>April</v>
      </c>
      <c r="P1179" t="str">
        <f t="array" ref="P1179">IF(COUNTIF('Cleaned Dataset'!$C$2:$C$1201,C1179)&gt;1,"Yes","No")</f>
        <v>No</v>
      </c>
    </row>
    <row r="1180" spans="1:16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  <c r="O1180" t="str">
        <f t="shared" si="18"/>
        <v>September</v>
      </c>
      <c r="P1180" t="str">
        <f t="array" ref="P1180">IF(COUNTIF('Cleaned Dataset'!$C$2:$C$1201,C1180)&gt;1,"Yes","No")</f>
        <v>No</v>
      </c>
    </row>
    <row r="1181" spans="1:16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  <c r="O1181" t="str">
        <f t="shared" si="18"/>
        <v>January</v>
      </c>
      <c r="P1181" t="str">
        <f t="array" ref="P1181">IF(COUNTIF('Cleaned Dataset'!$C$2:$C$1201,C1181)&gt;1,"Yes","No")</f>
        <v>No</v>
      </c>
    </row>
    <row r="1182" spans="1:16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  <c r="O1182" t="str">
        <f t="shared" si="18"/>
        <v>October</v>
      </c>
      <c r="P1182" t="str">
        <f t="array" ref="P1182">IF(COUNTIF('Cleaned Dataset'!$C$2:$C$1201,C1182)&gt;1,"Yes","No")</f>
        <v>No</v>
      </c>
    </row>
    <row r="1183" spans="1:16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  <c r="O1183" t="str">
        <f t="shared" si="18"/>
        <v>July</v>
      </c>
      <c r="P1183" t="str">
        <f t="array" ref="P1183">IF(COUNTIF('Cleaned Dataset'!$C$2:$C$1201,C1183)&gt;1,"Yes","No")</f>
        <v>No</v>
      </c>
    </row>
    <row r="1184" spans="1:16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  <c r="O1184" t="str">
        <f t="shared" si="18"/>
        <v>June</v>
      </c>
      <c r="P1184" t="str">
        <f t="array" ref="P1184">IF(COUNTIF('Cleaned Dataset'!$C$2:$C$1201,C1184)&gt;1,"Yes","No")</f>
        <v>No</v>
      </c>
    </row>
    <row r="1185" spans="1:16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  <c r="O1185" t="str">
        <f t="shared" si="18"/>
        <v>April</v>
      </c>
      <c r="P1185" t="str">
        <f t="array" ref="P1185">IF(COUNTIF('Cleaned Dataset'!$C$2:$C$1201,C1185)&gt;1,"Yes","No")</f>
        <v>No</v>
      </c>
    </row>
    <row r="1186" spans="1:16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4320</v>
      </c>
      <c r="M1186" s="2" t="s">
        <v>4282</v>
      </c>
      <c r="N1186" s="2">
        <v>204.08</v>
      </c>
      <c r="O1186" t="str">
        <f t="shared" si="18"/>
        <v>September</v>
      </c>
      <c r="P1186" t="str">
        <f t="array" ref="P1186">IF(COUNTIF('Cleaned Dataset'!$C$2:$C$1201,C1186)&gt;1,"Yes","No")</f>
        <v>No</v>
      </c>
    </row>
    <row r="1187" spans="1:16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  <c r="O1187" t="str">
        <f t="shared" si="18"/>
        <v>July</v>
      </c>
      <c r="P1187" t="str">
        <f t="array" ref="P1187">IF(COUNTIF('Cleaned Dataset'!$C$2:$C$1201,C1187)&gt;1,"Yes","No")</f>
        <v>No</v>
      </c>
    </row>
    <row r="1188" spans="1:16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  <c r="O1188" t="str">
        <f t="shared" si="18"/>
        <v>November</v>
      </c>
      <c r="P1188" t="str">
        <f t="array" ref="P1188">IF(COUNTIF('Cleaned Dataset'!$C$2:$C$1201,C1188)&gt;1,"Yes","No")</f>
        <v>No</v>
      </c>
    </row>
    <row r="1189" spans="1:16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  <c r="O1189" t="str">
        <f t="shared" si="18"/>
        <v>March</v>
      </c>
      <c r="P1189" t="str">
        <f t="array" ref="P1189">IF(COUNTIF('Cleaned Dataset'!$C$2:$C$1201,C1189)&gt;1,"Yes","No")</f>
        <v>No</v>
      </c>
    </row>
    <row r="1190" spans="1:16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  <c r="O1190" t="str">
        <f t="shared" si="18"/>
        <v>October</v>
      </c>
      <c r="P1190" t="str">
        <f t="array" ref="P1190">IF(COUNTIF('Cleaned Dataset'!$C$2:$C$1201,C1190)&gt;1,"Yes","No")</f>
        <v>No</v>
      </c>
    </row>
    <row r="1191" spans="1:16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4320</v>
      </c>
      <c r="M1191" s="2" t="s">
        <v>4279</v>
      </c>
      <c r="N1191" s="2">
        <v>1946.1</v>
      </c>
      <c r="O1191" t="str">
        <f t="shared" si="18"/>
        <v>August</v>
      </c>
      <c r="P1191" t="str">
        <f t="array" ref="P1191">IF(COUNTIF('Cleaned Dataset'!$C$2:$C$1201,C1191)&gt;1,"Yes","No")</f>
        <v>No</v>
      </c>
    </row>
    <row r="1192" spans="1:16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  <c r="O1192" t="str">
        <f t="shared" si="18"/>
        <v>June</v>
      </c>
      <c r="P1192" t="str">
        <f t="array" ref="P1192">IF(COUNTIF('Cleaned Dataset'!$C$2:$C$1201,C1192)&gt;1,"Yes","No")</f>
        <v>No</v>
      </c>
    </row>
    <row r="1193" spans="1:16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  <c r="O1193" t="str">
        <f t="shared" si="18"/>
        <v>February</v>
      </c>
      <c r="P1193" t="str">
        <f t="array" ref="P1193">IF(COUNTIF('Cleaned Dataset'!$C$2:$C$1201,C1193)&gt;1,"Yes","No")</f>
        <v>No</v>
      </c>
    </row>
    <row r="1194" spans="1:16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4320</v>
      </c>
      <c r="M1194" s="2" t="s">
        <v>4278</v>
      </c>
      <c r="N1194" s="2">
        <v>1298.55</v>
      </c>
      <c r="O1194" t="str">
        <f t="shared" si="18"/>
        <v>February</v>
      </c>
      <c r="P1194" t="str">
        <f t="array" ref="P1194">IF(COUNTIF('Cleaned Dataset'!$C$2:$C$1201,C1194)&gt;1,"Yes","No")</f>
        <v>No</v>
      </c>
    </row>
    <row r="1195" spans="1:16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  <c r="O1195" t="str">
        <f t="shared" si="18"/>
        <v>June</v>
      </c>
      <c r="P1195" t="str">
        <f t="array" ref="P1195">IF(COUNTIF('Cleaned Dataset'!$C$2:$C$1201,C1195)&gt;1,"Yes","No")</f>
        <v>No</v>
      </c>
    </row>
    <row r="1196" spans="1:16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  <c r="O1196" t="str">
        <f t="shared" si="18"/>
        <v>November</v>
      </c>
      <c r="P1196" t="str">
        <f t="array" ref="P1196">IF(COUNTIF('Cleaned Dataset'!$C$2:$C$1201,C1196)&gt;1,"Yes","No")</f>
        <v>No</v>
      </c>
    </row>
    <row r="1197" spans="1:16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  <c r="O1197" t="str">
        <f t="shared" si="18"/>
        <v>June</v>
      </c>
      <c r="P1197" t="str">
        <f t="array" ref="P1197">IF(COUNTIF('Cleaned Dataset'!$C$2:$C$1201,C1197)&gt;1,"Yes","No")</f>
        <v>No</v>
      </c>
    </row>
    <row r="1198" spans="1:16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4320</v>
      </c>
      <c r="M1198" s="2" t="s">
        <v>4281</v>
      </c>
      <c r="N1198" s="2">
        <v>1325.06</v>
      </c>
      <c r="O1198" t="str">
        <f t="shared" si="18"/>
        <v>March</v>
      </c>
      <c r="P1198" t="str">
        <f t="array" ref="P1198">IF(COUNTIF('Cleaned Dataset'!$C$2:$C$1201,C1198)&gt;1,"Yes","No")</f>
        <v>No</v>
      </c>
    </row>
    <row r="1199" spans="1:16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  <c r="O1199" t="str">
        <f t="shared" si="18"/>
        <v>July</v>
      </c>
      <c r="P1199" t="str">
        <f t="array" ref="P1199">IF(COUNTIF('Cleaned Dataset'!$C$2:$C$1201,C1199)&gt;1,"Yes","No")</f>
        <v>No</v>
      </c>
    </row>
    <row r="1200" spans="1:16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  <c r="O1200" t="str">
        <f t="shared" si="18"/>
        <v>August</v>
      </c>
      <c r="P1200" t="str">
        <f t="array" ref="P1200">IF(COUNTIF('Cleaned Dataset'!$C$2:$C$1201,C1200)&gt;1,"Yes","No")</f>
        <v>No</v>
      </c>
    </row>
    <row r="1201" spans="1:16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  <c r="O1201" t="str">
        <f t="shared" si="18"/>
        <v>June</v>
      </c>
      <c r="P1201" t="str">
        <f t="array" ref="P1201">IF(COUNTIF('Cleaned Dataset'!$C$2:$C$1201,C1201)&gt;1,"Yes","No")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8354-AAE5-4CCE-BEC5-266EC094EEFF}">
  <dimension ref="A1:F41"/>
  <sheetViews>
    <sheetView topLeftCell="A27" workbookViewId="0">
      <selection activeCell="D6" sqref="D6"/>
    </sheetView>
  </sheetViews>
  <sheetFormatPr defaultRowHeight="15.75" x14ac:dyDescent="0.25"/>
  <cols>
    <col min="1" max="1" width="27.7109375" style="5" customWidth="1"/>
    <col min="2" max="2" width="51.5703125" style="8" customWidth="1"/>
    <col min="3" max="6" width="23.140625" style="2" customWidth="1"/>
  </cols>
  <sheetData>
    <row r="1" spans="1:6" s="1" customFormat="1" ht="36" customHeight="1" x14ac:dyDescent="0.25">
      <c r="A1" s="16" t="s">
        <v>4319</v>
      </c>
      <c r="B1" s="17"/>
      <c r="C1" s="2"/>
      <c r="D1" s="2"/>
      <c r="E1" s="2"/>
      <c r="F1" s="2"/>
    </row>
    <row r="2" spans="1:6" s="1" customFormat="1" ht="36" customHeight="1" x14ac:dyDescent="0.25">
      <c r="A2" s="7" t="s">
        <v>4294</v>
      </c>
      <c r="B2" s="13" t="s">
        <v>4295</v>
      </c>
      <c r="C2" s="2"/>
      <c r="D2" s="2"/>
      <c r="E2" s="2"/>
      <c r="F2" s="2"/>
    </row>
    <row r="3" spans="1:6" s="1" customFormat="1" ht="36" customHeight="1" x14ac:dyDescent="0.25">
      <c r="A3" s="18" t="s">
        <v>4296</v>
      </c>
      <c r="B3" s="17"/>
      <c r="C3" s="2"/>
      <c r="D3" s="2"/>
      <c r="E3" s="2"/>
      <c r="F3" s="2"/>
    </row>
    <row r="4" spans="1:6" s="1" customFormat="1" ht="36" customHeight="1" x14ac:dyDescent="0.25">
      <c r="A4" s="9" t="s">
        <v>4283</v>
      </c>
      <c r="B4" s="10">
        <f>COUNTA('Cleaned Dataset'!A:A)-1</f>
        <v>1200</v>
      </c>
      <c r="C4" s="6"/>
      <c r="D4" s="2"/>
      <c r="E4" s="2"/>
      <c r="F4" s="2"/>
    </row>
    <row r="5" spans="1:6" s="1" customFormat="1" ht="36" customHeight="1" x14ac:dyDescent="0.25">
      <c r="A5" s="9" t="s">
        <v>4287</v>
      </c>
      <c r="B5" s="14">
        <f>AVERAGE('Cleaned Dataset'!N:N)</f>
        <v>1053.9683000000005</v>
      </c>
      <c r="C5" s="6"/>
      <c r="D5" s="2"/>
      <c r="E5" s="2"/>
      <c r="F5" s="2"/>
    </row>
    <row r="6" spans="1:6" s="1" customFormat="1" ht="36" customHeight="1" x14ac:dyDescent="0.25">
      <c r="A6" s="9" t="s">
        <v>4284</v>
      </c>
      <c r="B6" s="15">
        <f>MEDIAN('Cleaned Dataset'!N:N)</f>
        <v>823.61500000000001</v>
      </c>
      <c r="C6" s="6"/>
      <c r="D6" s="2"/>
      <c r="E6" s="2"/>
      <c r="F6" s="2"/>
    </row>
    <row r="7" spans="1:6" s="1" customFormat="1" ht="36" customHeight="1" x14ac:dyDescent="0.25">
      <c r="A7" s="9" t="s">
        <v>4286</v>
      </c>
      <c r="B7" s="10">
        <f>MAX('Cleaned Dataset'!N:N)</f>
        <v>3456.4</v>
      </c>
      <c r="C7" s="2"/>
      <c r="D7" s="2"/>
      <c r="E7" s="2"/>
      <c r="F7" s="2"/>
    </row>
    <row r="8" spans="1:6" s="1" customFormat="1" ht="36" customHeight="1" x14ac:dyDescent="0.25">
      <c r="A8" s="9" t="s">
        <v>4285</v>
      </c>
      <c r="B8" s="10">
        <f>MIN('Cleaned Dataset'!N:N)</f>
        <v>11.39</v>
      </c>
      <c r="C8" s="2"/>
      <c r="D8" s="2"/>
      <c r="E8" s="2"/>
      <c r="F8" s="2"/>
    </row>
    <row r="9" spans="1:6" s="1" customFormat="1" ht="36" customHeight="1" x14ac:dyDescent="0.25">
      <c r="A9" s="18" t="s">
        <v>4297</v>
      </c>
      <c r="B9" s="17"/>
      <c r="C9" s="2"/>
      <c r="D9" s="2"/>
      <c r="E9" s="2"/>
      <c r="F9" s="2"/>
    </row>
    <row r="10" spans="1:6" s="1" customFormat="1" ht="36" customHeight="1" x14ac:dyDescent="0.25">
      <c r="A10" s="9" t="s">
        <v>4298</v>
      </c>
      <c r="B10" s="10" t="str">
        <f t="array" ref="B10">INDEX('Cleaned Dataset'!D:D,MATCH(MAX(COUNTIF('Cleaned Dataset'!D2:D1201,'Cleaned Dataset'!D2:D1201)),COUNTIF('Cleaned Dataset'!D2:D1201,'Cleaned Dataset'!D2:D1201),0)+1)</f>
        <v>Printer</v>
      </c>
      <c r="C10" s="2"/>
      <c r="D10" s="2"/>
      <c r="E10" s="2"/>
      <c r="F10" s="2"/>
    </row>
    <row r="11" spans="1:6" s="1" customFormat="1" ht="36" customHeight="1" x14ac:dyDescent="0.25">
      <c r="A11" s="9" t="s">
        <v>4288</v>
      </c>
      <c r="B11" s="10" t="str">
        <f t="array" ref="B11">INDEX('Cleaned Dataset'!D:D,MATCH(MAX(COUNTIFS('Cleaned Dataset'!D2:D1201,'Cleaned Dataset'!D2:D1201,'Cleaned Dataset'!I2:I1201,"Returned")),COUNTIFS('Cleaned Dataset'!D2:D1201,'Cleaned Dataset'!D2:D1201,'Cleaned Dataset'!I2:I1201,"Returned"),0)+1)</f>
        <v>Tablet</v>
      </c>
      <c r="C11" s="2"/>
      <c r="D11" s="2"/>
      <c r="E11" s="2"/>
      <c r="F11" s="2"/>
    </row>
    <row r="12" spans="1:6" s="1" customFormat="1" ht="36" customHeight="1" x14ac:dyDescent="0.25">
      <c r="A12" s="9" t="s">
        <v>4289</v>
      </c>
      <c r="B12" s="10" t="str">
        <f t="array" ref="B12">INDEX('Cleaned Dataset'!D:D,MATCH(MAX(COUNTIFS('Cleaned Dataset'!D2:D1201,'Cleaned Dataset'!D2:D1201,'Cleaned Dataset'!I2:I1201,"Shipped")),COUNTIFS('Cleaned Dataset'!D2:D1201,'Cleaned Dataset'!D2:D1201,'Cleaned Dataset'!I2:I1201,"Shipped"),0)+1)</f>
        <v>Printer</v>
      </c>
      <c r="C12" s="2"/>
      <c r="D12" s="2"/>
      <c r="E12" s="2"/>
      <c r="F12" s="2"/>
    </row>
    <row r="13" spans="1:6" s="1" customFormat="1" ht="36" customHeight="1" x14ac:dyDescent="0.25">
      <c r="A13" s="18" t="s">
        <v>4299</v>
      </c>
      <c r="B13" s="17"/>
      <c r="C13" s="2"/>
      <c r="D13" s="2"/>
      <c r="E13" s="2"/>
      <c r="F13" s="2"/>
    </row>
    <row r="14" spans="1:6" s="1" customFormat="1" ht="36" customHeight="1" x14ac:dyDescent="0.25">
      <c r="A14" s="9" t="s">
        <v>4290</v>
      </c>
      <c r="B14" s="10">
        <f>COUNTIF('Cleaned Dataset'!I:I,"Shipped")</f>
        <v>235</v>
      </c>
      <c r="C14" s="2"/>
      <c r="D14" s="2"/>
      <c r="E14" s="2"/>
      <c r="F14" s="2"/>
    </row>
    <row r="15" spans="1:6" s="1" customFormat="1" ht="36" customHeight="1" x14ac:dyDescent="0.25">
      <c r="A15" s="9" t="s">
        <v>4292</v>
      </c>
      <c r="B15" s="10">
        <f>COUNTIF('Cleaned Dataset'!I:I,"Delivered")</f>
        <v>231</v>
      </c>
      <c r="C15" s="2"/>
      <c r="D15" s="2"/>
      <c r="E15" s="2"/>
      <c r="F15" s="2"/>
    </row>
    <row r="16" spans="1:6" s="1" customFormat="1" ht="36" customHeight="1" x14ac:dyDescent="0.25">
      <c r="A16" s="9" t="s">
        <v>4300</v>
      </c>
      <c r="B16" s="10">
        <f>COUNTIF('Cleaned Dataset'!I:I,"Cancelled")</f>
        <v>250</v>
      </c>
      <c r="C16" s="2"/>
      <c r="D16" s="2"/>
      <c r="E16" s="2"/>
      <c r="F16" s="2"/>
    </row>
    <row r="17" spans="1:6" s="1" customFormat="1" ht="36" customHeight="1" x14ac:dyDescent="0.25">
      <c r="A17" s="9" t="s">
        <v>4291</v>
      </c>
      <c r="B17" s="10">
        <f>COUNTIF('Cleaned Dataset'!I:I,"Returned")</f>
        <v>247</v>
      </c>
      <c r="C17" s="2"/>
      <c r="D17" s="2"/>
      <c r="E17" s="2"/>
      <c r="F17" s="2"/>
    </row>
    <row r="18" spans="1:6" s="1" customFormat="1" ht="36" customHeight="1" x14ac:dyDescent="0.25">
      <c r="A18" s="9" t="s">
        <v>4293</v>
      </c>
      <c r="B18" s="10">
        <f>COUNTIF('Cleaned Dataset'!I:I,"Pending")</f>
        <v>237</v>
      </c>
      <c r="C18" s="2"/>
      <c r="D18" s="2"/>
      <c r="E18" s="2"/>
      <c r="F18" s="2"/>
    </row>
    <row r="19" spans="1:6" s="1" customFormat="1" ht="36" customHeight="1" x14ac:dyDescent="0.25">
      <c r="A19" s="18" t="s">
        <v>4301</v>
      </c>
      <c r="B19" s="17"/>
      <c r="C19" s="2"/>
      <c r="D19" s="2"/>
      <c r="E19" s="2"/>
      <c r="F19" s="2"/>
    </row>
    <row r="20" spans="1:6" s="1" customFormat="1" ht="36" customHeight="1" x14ac:dyDescent="0.25">
      <c r="A20" s="9" t="s">
        <v>4302</v>
      </c>
      <c r="B20" s="10" t="str">
        <f t="array" ref="B20">INDEX('Cleaned Dataset'!H:H,MATCH(MAX(COUNTIF('Cleaned Dataset'!H2:H1201,'Cleaned Dataset'!H2:H1201)),COUNTIF('Cleaned Dataset'!H2:H1201,'Cleaned Dataset'!H2:H1201),0)+1)</f>
        <v>Online</v>
      </c>
      <c r="C20" s="2"/>
      <c r="D20" s="2"/>
      <c r="E20" s="2"/>
      <c r="F20" s="2"/>
    </row>
    <row r="21" spans="1:6" s="1" customFormat="1" ht="36" customHeight="1" x14ac:dyDescent="0.25">
      <c r="A21" s="18" t="s">
        <v>4303</v>
      </c>
      <c r="B21" s="17"/>
      <c r="C21" s="2"/>
      <c r="D21" s="2"/>
      <c r="E21" s="2"/>
      <c r="F21" s="2"/>
    </row>
    <row r="22" spans="1:6" s="1" customFormat="1" ht="36" customHeight="1" x14ac:dyDescent="0.25">
      <c r="A22" s="9" t="s">
        <v>4304</v>
      </c>
      <c r="B22" s="10" t="str">
        <f t="array" ref="B22">INDEX('Cleaned Dataset'!M:M,MATCH(MAX(COUNTIF('Cleaned Dataset'!M2:M1201,'Cleaned Dataset'!M2:M1201)),COUNTIF('Cleaned Dataset'!M2:M1201,'Cleaned Dataset'!M2:M1201),0)+1)</f>
        <v>Instagram</v>
      </c>
      <c r="C22" s="2"/>
      <c r="D22" s="2"/>
      <c r="E22" s="2"/>
      <c r="F22" s="2"/>
    </row>
    <row r="23" spans="1:6" s="1" customFormat="1" ht="36" customHeight="1" x14ac:dyDescent="0.25">
      <c r="A23" s="9" t="s">
        <v>4305</v>
      </c>
      <c r="B23" s="10" t="str">
        <f t="array" ref="B23">INDEX('Cleaned Dataset'!M:M,MATCH(MAX(SUMIF('Cleaned Dataset'!M2:M1201,'Cleaned Dataset'!M2:M1201,'Cleaned Dataset'!N2:N1201)),SUMIF('Cleaned Dataset'!M2:M1201,'Cleaned Dataset'!M2:M1201,'Cleaned Dataset'!N2:N1201),0)+1)</f>
        <v>Instagram</v>
      </c>
      <c r="C23" s="2"/>
      <c r="D23" s="2"/>
      <c r="E23" s="2"/>
      <c r="F23" s="2"/>
    </row>
    <row r="24" spans="1:6" s="1" customFormat="1" ht="36" customHeight="1" x14ac:dyDescent="0.25">
      <c r="A24" s="9" t="s">
        <v>4306</v>
      </c>
      <c r="B24" s="10" t="str">
        <f t="array" ref="B24">INDEX('Cleaned Dataset'!M:M,MATCH(MAX(COUNTIFS('Cleaned Dataset'!M2:M1201,'Cleaned Dataset'!M2:M1201,'Cleaned Dataset'!I2:I1201,"Cancelled")),COUNTIFS('Cleaned Dataset'!M2:M1201,'Cleaned Dataset'!M2:M1201,'Cleaned Dataset'!I2:I1201,"Cancelled"),0)+1)</f>
        <v>Email</v>
      </c>
      <c r="C24" s="2"/>
      <c r="D24" s="2"/>
      <c r="E24" s="2"/>
      <c r="F24" s="2"/>
    </row>
    <row r="25" spans="1:6" s="1" customFormat="1" ht="36" customHeight="1" x14ac:dyDescent="0.25">
      <c r="A25" s="9" t="s">
        <v>4307</v>
      </c>
      <c r="B25" s="10" t="str">
        <f t="array" ref="B25">INDEX('Cleaned Dataset'!M:M,MATCH(MAX(COUNTIFS('Cleaned Dataset'!M2:M1201,'Cleaned Dataset'!M2:M1201,'Cleaned Dataset'!L2:L1201,"&lt;&gt;")),COUNTIFS('Cleaned Dataset'!M2:M1201,'Cleaned Dataset'!M2:M1201,'Cleaned Dataset'!L2:L1201,"&lt;&gt;"),0)+1)</f>
        <v>Instagram</v>
      </c>
      <c r="C25" s="2"/>
      <c r="D25" s="2"/>
      <c r="E25" s="2"/>
      <c r="F25" s="2"/>
    </row>
    <row r="26" spans="1:6" s="1" customFormat="1" ht="36" customHeight="1" x14ac:dyDescent="0.25">
      <c r="A26" s="18" t="s">
        <v>4308</v>
      </c>
      <c r="B26" s="17"/>
      <c r="C26" s="2"/>
      <c r="D26" s="2"/>
      <c r="E26" s="2"/>
      <c r="F26" s="2"/>
    </row>
    <row r="27" spans="1:6" s="1" customFormat="1" ht="36" customHeight="1" x14ac:dyDescent="0.25">
      <c r="A27" s="9" t="s">
        <v>4309</v>
      </c>
      <c r="B27" s="10">
        <f>COUNTIF('Cleaned Dataset'!L:L,"&lt;&gt;")- COUNTIF('Cleaned Dataset'!L:L,"No data")-1</f>
        <v>891</v>
      </c>
      <c r="C27" s="2"/>
      <c r="D27" s="2"/>
      <c r="E27" s="2"/>
      <c r="F27" s="2"/>
    </row>
    <row r="28" spans="1:6" s="1" customFormat="1" ht="36" customHeight="1" x14ac:dyDescent="0.25">
      <c r="A28" s="9" t="s">
        <v>4310</v>
      </c>
      <c r="B28" s="10">
        <f>COUNTIF('Cleaned Dataset'!L:L,"No data")</f>
        <v>309</v>
      </c>
      <c r="C28" s="2"/>
      <c r="D28" s="2"/>
      <c r="E28" s="2"/>
      <c r="F28" s="2"/>
    </row>
    <row r="29" spans="1:6" s="1" customFormat="1" ht="36" customHeight="1" x14ac:dyDescent="0.25">
      <c r="A29" s="18" t="s">
        <v>4311</v>
      </c>
      <c r="B29" s="17"/>
      <c r="C29" s="2"/>
      <c r="D29"/>
      <c r="E29" s="2"/>
      <c r="F29" s="2"/>
    </row>
    <row r="30" spans="1:6" s="1" customFormat="1" ht="36" customHeight="1" x14ac:dyDescent="0.25">
      <c r="A30" s="9" t="s">
        <v>4312</v>
      </c>
      <c r="B30" s="11" t="str">
        <f t="array" ref="B30">TEXT(INDEX('Cleaned Dataset'!B:B,MATCH(MAX(COUNTIF('Cleaned Dataset'!B2:B1201,'Cleaned Dataset'!B2:B1201)),COUNTIF('Cleaned Dataset'!B2:B1201,'Cleaned Dataset'!B2:B1201),0)+1),"dddd")</f>
        <v>Sunday</v>
      </c>
      <c r="C30" s="2"/>
      <c r="D30" s="2"/>
      <c r="E30" s="2"/>
      <c r="F30" s="2"/>
    </row>
    <row r="31" spans="1:6" s="1" customFormat="1" ht="36" customHeight="1" x14ac:dyDescent="0.25">
      <c r="A31" s="9" t="s">
        <v>4313</v>
      </c>
      <c r="B31" s="12" t="str">
        <f t="array" ref="B31">INDEX('Cleaned Dataset'!O2:O1201,MATCH(MAX(COUNTIF('Cleaned Dataset'!O2:O1201,'Cleaned Dataset'!O2:O1201)),COUNTIF('Cleaned Dataset'!O2:O1201,'Cleaned Dataset'!O2:O1201),0))</f>
        <v>June</v>
      </c>
      <c r="C31" s="2"/>
      <c r="D31" s="2"/>
      <c r="E31" s="2"/>
      <c r="F31" s="2"/>
    </row>
    <row r="32" spans="1:6" s="1" customFormat="1" ht="36" customHeight="1" x14ac:dyDescent="0.25">
      <c r="A32" s="9" t="s">
        <v>4314</v>
      </c>
      <c r="B32" s="11" t="str">
        <f t="array" ref="B32">INDEX('Cleaned Dataset'!O2:O1201,MATCH(MIN(COUNTIF('Cleaned Dataset'!O2:O1201,'Cleaned Dataset'!O2:O1201)),COUNTIF('Cleaned Dataset'!O2:O1201,'Cleaned Dataset'!O2:O1201),0))</f>
        <v>September</v>
      </c>
      <c r="C32" s="2"/>
      <c r="D32" s="2"/>
      <c r="E32" s="2"/>
      <c r="F32" s="2"/>
    </row>
    <row r="33" spans="1:6" s="1" customFormat="1" ht="36" customHeight="1" x14ac:dyDescent="0.25">
      <c r="A33" s="18" t="s">
        <v>4315</v>
      </c>
      <c r="B33" s="17"/>
      <c r="C33" s="2"/>
      <c r="D33" s="2"/>
      <c r="E33" s="2"/>
      <c r="F33" s="2"/>
    </row>
    <row r="34" spans="1:6" s="1" customFormat="1" ht="36" customHeight="1" x14ac:dyDescent="0.25">
      <c r="A34" s="9" t="s">
        <v>4316</v>
      </c>
      <c r="B34" s="11">
        <f>ROUND(AVERAGEIF('Cleaned Dataset'!I:I,"Shipped",'Cleaned Dataset'!K:K),0)</f>
        <v>5</v>
      </c>
      <c r="C34" s="2"/>
      <c r="D34" s="2"/>
      <c r="E34" s="2"/>
      <c r="F34" s="2"/>
    </row>
    <row r="35" spans="1:6" s="1" customFormat="1" ht="36" customHeight="1" x14ac:dyDescent="0.25">
      <c r="A35" s="9" t="s">
        <v>4317</v>
      </c>
      <c r="B35" s="11">
        <f>ROUND(AVERAGEIF('Cleaned Dataset'!I:I,"Cancelled",'Cleaned Dataset'!K:K),0)</f>
        <v>6</v>
      </c>
      <c r="C35" s="2"/>
      <c r="D35" s="2"/>
      <c r="E35" s="2"/>
      <c r="F35" s="2"/>
    </row>
    <row r="36" spans="1:6" s="1" customFormat="1" ht="36" customHeight="1" x14ac:dyDescent="0.25">
      <c r="A36" s="9" t="s">
        <v>4318</v>
      </c>
      <c r="B36" s="11">
        <f t="array" ref="B36">ROUND(AVERAGEIF('Cleaned Dataset'!I:I,"Returned",'Cleaned Dataset'!K:K),0)</f>
        <v>5</v>
      </c>
      <c r="C36" s="2"/>
      <c r="D36" s="2"/>
      <c r="E36" s="2"/>
      <c r="F36" s="2"/>
    </row>
    <row r="37" spans="1:6" ht="36" customHeight="1" x14ac:dyDescent="0.25">
      <c r="A37" s="18" t="s">
        <v>4327</v>
      </c>
      <c r="B37" s="17"/>
    </row>
    <row r="38" spans="1:6" ht="36" customHeight="1" x14ac:dyDescent="0.25">
      <c r="A38" s="9" t="s">
        <v>4322</v>
      </c>
      <c r="B38" s="11">
        <f t="array" ref="B38">SUMPRODUCT((COUNTIF('Cleaned Dataset'!C2:C1201,'Cleaned Dataset'!C2:C1201)&gt;1)/COUNTIF('Cleaned Dataset'!C2:C1201,'Cleaned Dataset'!C2:C1201))</f>
        <v>11</v>
      </c>
    </row>
    <row r="39" spans="1:6" ht="36" customHeight="1" x14ac:dyDescent="0.25">
      <c r="A39" s="9" t="s">
        <v>4323</v>
      </c>
      <c r="B39" s="11">
        <f>ROUND(AVERAGEIF('Cleaned Dataset'!I:I,"Cancelled",'Cleaned Dataset'!K:K),0)</f>
        <v>6</v>
      </c>
    </row>
    <row r="40" spans="1:6" ht="47.25" x14ac:dyDescent="0.25">
      <c r="A40" s="9" t="s">
        <v>4325</v>
      </c>
      <c r="B40" s="11" t="str">
        <f t="array" ref="B40">INDEX('Cleaned Dataset'!D2:D1201,MATCH(MAX(COUNTIFS('Cleaned Dataset'!P2:P1201,"Yes",'Cleaned Dataset'!D2:D1201,'Cleaned Dataset'!D2:D1201)),COUNTIFS('Cleaned Dataset'!P2:P1201,"Yes",'Cleaned Dataset'!D2:D1201,'Cleaned Dataset'!D2:D1201),0))</f>
        <v>Tablet</v>
      </c>
    </row>
    <row r="41" spans="1:6" ht="31.5" x14ac:dyDescent="0.25">
      <c r="A41" s="9" t="s">
        <v>4326</v>
      </c>
      <c r="B41" s="11">
        <f t="array" ref="B41">ROUND(AVERAGEIF('Cleaned Dataset'!P:P,"Yes",'Cleaned Dataset'!K:K),0)</f>
        <v>5</v>
      </c>
    </row>
  </sheetData>
  <mergeCells count="10">
    <mergeCell ref="A1:B1"/>
    <mergeCell ref="A3:B3"/>
    <mergeCell ref="A9:B9"/>
    <mergeCell ref="A13:B13"/>
    <mergeCell ref="A37:B37"/>
    <mergeCell ref="A19:B19"/>
    <mergeCell ref="A21:B21"/>
    <mergeCell ref="A26:B26"/>
    <mergeCell ref="A29:B29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Zohny</dc:creator>
  <cp:lastModifiedBy>Nada Zohny</cp:lastModifiedBy>
  <dcterms:created xsi:type="dcterms:W3CDTF">2025-06-21T13:19:12Z</dcterms:created>
  <dcterms:modified xsi:type="dcterms:W3CDTF">2026-06-05T05:05:51Z</dcterms:modified>
</cp:coreProperties>
</file>